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jus\AppData\Local\Microsoft\Windows\INetCache\Content.Outlook\7G8661PM\"/>
    </mc:Choice>
  </mc:AlternateContent>
  <xr:revisionPtr revIDLastSave="0" documentId="13_ncr:1_{0238F525-3635-4B59-A2E8-59EEFB4679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ejamento" sheetId="1" r:id="rId1"/>
    <sheet name="Gráf. 1 - visão anual" sheetId="2" r:id="rId2"/>
    <sheet name="Gráf. 2 - dist. de despesas" sheetId="3" r:id="rId3"/>
  </sheets>
  <definedNames>
    <definedName name="_xlchart.v1.0" hidden="1">Planejamento!$C$76:$D$82</definedName>
    <definedName name="_xlchart.v1.1" hidden="1">Planejamento!$P$76:$P$82</definedName>
    <definedName name="_xlchart.v1.10" hidden="1">Planejamento!$C$42:$D$49</definedName>
    <definedName name="_xlchart.v1.11" hidden="1">Planejamento!$P$42:$P$49</definedName>
    <definedName name="_xlchart.v1.12" hidden="1">Planejamento!$C$26:$D$38</definedName>
    <definedName name="_xlchart.v1.13" hidden="1">Planejamento!$P$26:$P$38</definedName>
    <definedName name="_xlchart.v1.14" hidden="1">Planejamento!$C$53:$D$57</definedName>
    <definedName name="_xlchart.v1.15" hidden="1">Planejamento!$P$53:$P$57</definedName>
    <definedName name="_xlchart.v1.2" hidden="1">Planejamento!$C$69:$D$72</definedName>
    <definedName name="_xlchart.v1.3" hidden="1">Planejamento!$P$69:$P$72</definedName>
    <definedName name="_xlchart.v1.4" hidden="1">Planejamento!$C$61:$D$65</definedName>
    <definedName name="_xlchart.v1.5" hidden="1">Planejamento!$P$61:$P$65</definedName>
    <definedName name="_xlchart.v1.6" hidden="1">Planejamento!$C$86:$D$90</definedName>
    <definedName name="_xlchart.v1.7" hidden="1">Planejamento!$P$86:$P$90</definedName>
    <definedName name="_xlchart.v1.8" hidden="1">Planejamento!$C$94:$D$98</definedName>
    <definedName name="_xlchart.v1.9" hidden="1">Planejamento!$P$94:$P$98</definedName>
    <definedName name="SUM">Planejamento!$E$105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" i="1" l="1"/>
  <c r="P35" i="1"/>
  <c r="P36" i="1"/>
  <c r="P37" i="1"/>
  <c r="P27" i="1"/>
  <c r="P96" i="1"/>
  <c r="E99" i="1"/>
  <c r="P12" i="1"/>
  <c r="P10" i="1"/>
  <c r="P11" i="1"/>
  <c r="P13" i="1"/>
  <c r="P98" i="1"/>
  <c r="P97" i="1"/>
  <c r="P95" i="1"/>
  <c r="P94" i="1"/>
  <c r="P90" i="1"/>
  <c r="P89" i="1"/>
  <c r="P88" i="1"/>
  <c r="P87" i="1"/>
  <c r="P86" i="1"/>
  <c r="P82" i="1"/>
  <c r="P81" i="1"/>
  <c r="P80" i="1"/>
  <c r="P79" i="1"/>
  <c r="P78" i="1"/>
  <c r="P77" i="1"/>
  <c r="P76" i="1"/>
  <c r="P72" i="1"/>
  <c r="P71" i="1"/>
  <c r="P70" i="1"/>
  <c r="P69" i="1"/>
  <c r="P65" i="1"/>
  <c r="P64" i="1"/>
  <c r="P63" i="1"/>
  <c r="P62" i="1"/>
  <c r="P61" i="1"/>
  <c r="P57" i="1"/>
  <c r="P56" i="1"/>
  <c r="P55" i="1"/>
  <c r="P54" i="1"/>
  <c r="P53" i="1"/>
  <c r="P49" i="1"/>
  <c r="P48" i="1"/>
  <c r="P47" i="1"/>
  <c r="P46" i="1"/>
  <c r="P45" i="1"/>
  <c r="P44" i="1"/>
  <c r="P42" i="1"/>
  <c r="P38" i="1"/>
  <c r="P34" i="1"/>
  <c r="P33" i="1"/>
  <c r="P32" i="1"/>
  <c r="P31" i="1"/>
  <c r="P30" i="1"/>
  <c r="P29" i="1"/>
  <c r="P28" i="1"/>
  <c r="P26" i="1"/>
  <c r="P20" i="1"/>
  <c r="P19" i="1"/>
  <c r="P18" i="1"/>
  <c r="P17" i="1"/>
  <c r="P9" i="1"/>
  <c r="P8" i="1"/>
  <c r="P7" i="1"/>
  <c r="N39" i="1" l="1"/>
  <c r="O39" i="1"/>
  <c r="G39" i="1"/>
  <c r="H39" i="1"/>
  <c r="I39" i="1"/>
  <c r="J39" i="1"/>
  <c r="K39" i="1"/>
  <c r="L39" i="1"/>
  <c r="M39" i="1"/>
  <c r="F39" i="1"/>
  <c r="M99" i="1"/>
  <c r="N99" i="1"/>
  <c r="O99" i="1"/>
  <c r="F99" i="1"/>
  <c r="G99" i="1"/>
  <c r="H99" i="1"/>
  <c r="I99" i="1"/>
  <c r="J99" i="1"/>
  <c r="K99" i="1"/>
  <c r="L99" i="1"/>
  <c r="O91" i="1"/>
  <c r="F91" i="1"/>
  <c r="G91" i="1"/>
  <c r="H91" i="1"/>
  <c r="I91" i="1"/>
  <c r="J91" i="1"/>
  <c r="K91" i="1"/>
  <c r="L91" i="1"/>
  <c r="M91" i="1"/>
  <c r="N91" i="1"/>
  <c r="F83" i="1"/>
  <c r="G83" i="1"/>
  <c r="H83" i="1"/>
  <c r="I83" i="1"/>
  <c r="J83" i="1"/>
  <c r="K83" i="1"/>
  <c r="L83" i="1"/>
  <c r="M83" i="1"/>
  <c r="N83" i="1"/>
  <c r="O83" i="1"/>
  <c r="O73" i="1"/>
  <c r="F73" i="1"/>
  <c r="G73" i="1"/>
  <c r="H73" i="1"/>
  <c r="I73" i="1"/>
  <c r="J73" i="1"/>
  <c r="K73" i="1"/>
  <c r="L73" i="1"/>
  <c r="M73" i="1"/>
  <c r="N73" i="1"/>
  <c r="N66" i="1"/>
  <c r="O66" i="1"/>
  <c r="F66" i="1"/>
  <c r="G66" i="1"/>
  <c r="H66" i="1"/>
  <c r="I66" i="1"/>
  <c r="J66" i="1"/>
  <c r="K66" i="1"/>
  <c r="L66" i="1"/>
  <c r="M66" i="1"/>
  <c r="M58" i="1"/>
  <c r="N58" i="1"/>
  <c r="O58" i="1"/>
  <c r="F58" i="1"/>
  <c r="G58" i="1"/>
  <c r="H58" i="1"/>
  <c r="I58" i="1"/>
  <c r="J58" i="1"/>
  <c r="K58" i="1"/>
  <c r="L58" i="1"/>
  <c r="N50" i="1"/>
  <c r="O50" i="1"/>
  <c r="G50" i="1"/>
  <c r="H50" i="1"/>
  <c r="I50" i="1"/>
  <c r="J50" i="1"/>
  <c r="K50" i="1"/>
  <c r="L50" i="1"/>
  <c r="M50" i="1"/>
  <c r="F50" i="1"/>
  <c r="E39" i="1" l="1"/>
  <c r="P39" i="1" s="1"/>
  <c r="P99" i="1"/>
  <c r="E91" i="1"/>
  <c r="P91" i="1" s="1"/>
  <c r="E83" i="1"/>
  <c r="P83" i="1" s="1"/>
  <c r="E73" i="1"/>
  <c r="P73" i="1" s="1"/>
  <c r="E66" i="1"/>
  <c r="E58" i="1"/>
  <c r="P58" i="1" s="1"/>
  <c r="E50" i="1"/>
  <c r="P50" i="1" s="1"/>
  <c r="O105" i="1"/>
  <c r="O109" i="1" s="1"/>
  <c r="N105" i="1"/>
  <c r="M105" i="1"/>
  <c r="L105" i="1"/>
  <c r="K105" i="1"/>
  <c r="J105" i="1"/>
  <c r="I105" i="1"/>
  <c r="H105" i="1"/>
  <c r="G105" i="1"/>
  <c r="F105" i="1"/>
  <c r="F14" i="1"/>
  <c r="F103" i="1" s="1"/>
  <c r="G14" i="1"/>
  <c r="G103" i="1" s="1"/>
  <c r="H14" i="1"/>
  <c r="I14" i="1"/>
  <c r="I103" i="1" s="1"/>
  <c r="J14" i="1"/>
  <c r="J103" i="1" s="1"/>
  <c r="K14" i="1"/>
  <c r="K103" i="1" s="1"/>
  <c r="L14" i="1"/>
  <c r="L103" i="1" s="1"/>
  <c r="M14" i="1"/>
  <c r="M103" i="1" s="1"/>
  <c r="N14" i="1"/>
  <c r="N103" i="1" s="1"/>
  <c r="O14" i="1"/>
  <c r="O103" i="1" s="1"/>
  <c r="E14" i="1"/>
  <c r="F21" i="1"/>
  <c r="G21" i="1"/>
  <c r="H21" i="1"/>
  <c r="I21" i="1"/>
  <c r="J21" i="1"/>
  <c r="K21" i="1"/>
  <c r="L21" i="1"/>
  <c r="M21" i="1"/>
  <c r="N21" i="1"/>
  <c r="O21" i="1"/>
  <c r="E21" i="1"/>
  <c r="P66" i="1" l="1"/>
  <c r="E105" i="1"/>
  <c r="N109" i="1"/>
  <c r="K109" i="1"/>
  <c r="F109" i="1"/>
  <c r="G109" i="1"/>
  <c r="I109" i="1"/>
  <c r="J109" i="1"/>
  <c r="L109" i="1"/>
  <c r="M109" i="1"/>
  <c r="P21" i="1"/>
  <c r="E103" i="1"/>
  <c r="P14" i="1"/>
  <c r="O106" i="1"/>
  <c r="E104" i="1"/>
  <c r="O108" i="1"/>
  <c r="O104" i="1"/>
  <c r="N108" i="1"/>
  <c r="N104" i="1"/>
  <c r="N106" i="1" s="1"/>
  <c r="M108" i="1"/>
  <c r="M104" i="1"/>
  <c r="M106" i="1" s="1"/>
  <c r="L108" i="1"/>
  <c r="L104" i="1"/>
  <c r="L106" i="1" s="1"/>
  <c r="K108" i="1"/>
  <c r="K104" i="1"/>
  <c r="K106" i="1" s="1"/>
  <c r="J108" i="1"/>
  <c r="J104" i="1"/>
  <c r="J106" i="1" s="1"/>
  <c r="I108" i="1"/>
  <c r="I104" i="1"/>
  <c r="I106" i="1" s="1"/>
  <c r="H108" i="1"/>
  <c r="H104" i="1"/>
  <c r="G108" i="1"/>
  <c r="G104" i="1"/>
  <c r="G106" i="1" s="1"/>
  <c r="F108" i="1"/>
  <c r="F104" i="1"/>
  <c r="F106" i="1" s="1"/>
  <c r="H103" i="1"/>
  <c r="H106" i="1" s="1"/>
  <c r="P103" i="1" l="1"/>
  <c r="P104" i="1"/>
  <c r="E108" i="1"/>
  <c r="E109" i="1"/>
  <c r="P105" i="1"/>
  <c r="H109" i="1"/>
  <c r="E106" i="1"/>
  <c r="P106" i="1" s="1"/>
</calcChain>
</file>

<file path=xl/sharedStrings.xml><?xml version="1.0" encoding="utf-8"?>
<sst xmlns="http://schemas.openxmlformats.org/spreadsheetml/2006/main" count="120" uniqueCount="101">
  <si>
    <t>Planejamento Financeiro</t>
  </si>
  <si>
    <t>JAN</t>
  </si>
  <si>
    <t>FEV</t>
  </si>
  <si>
    <t>MAR</t>
  </si>
  <si>
    <t>ABR</t>
  </si>
  <si>
    <t>MAI</t>
  </si>
  <si>
    <t>JUN</t>
  </si>
  <si>
    <t>AGO</t>
  </si>
  <si>
    <t>SET</t>
  </si>
  <si>
    <t>OUT</t>
  </si>
  <si>
    <t>NOV</t>
  </si>
  <si>
    <t>DEZ</t>
  </si>
  <si>
    <t>TOTAIS</t>
  </si>
  <si>
    <t>Entradas e Investimentos</t>
  </si>
  <si>
    <t>Receitas</t>
  </si>
  <si>
    <t>Descrição</t>
  </si>
  <si>
    <t>Salário</t>
  </si>
  <si>
    <t>13º salário / férias</t>
  </si>
  <si>
    <t>PLR, Bônus e Outros</t>
  </si>
  <si>
    <t>Receita com imóveis</t>
  </si>
  <si>
    <t>Freelas</t>
  </si>
  <si>
    <t>Pensão/Aposentadoria</t>
  </si>
  <si>
    <t>Outros</t>
  </si>
  <si>
    <t>Total de entradas</t>
  </si>
  <si>
    <t>Investimentos</t>
  </si>
  <si>
    <t>Reserva de Emergência</t>
  </si>
  <si>
    <t>Previdência/Aposentadoria</t>
  </si>
  <si>
    <t>Títulos de Renda Fixa</t>
  </si>
  <si>
    <t>Renda Variável</t>
  </si>
  <si>
    <t>Total de investimentos</t>
  </si>
  <si>
    <t>Despesas Fixas, Variáveis e Extras</t>
  </si>
  <si>
    <t>Moradia</t>
  </si>
  <si>
    <t>Aluguel</t>
  </si>
  <si>
    <t>Condomínio</t>
  </si>
  <si>
    <t>IPTU</t>
  </si>
  <si>
    <t>Financiamento da casa</t>
  </si>
  <si>
    <t>Seguro Residencial</t>
  </si>
  <si>
    <t>VARIÁVEIS</t>
  </si>
  <si>
    <t>Diarista/Mensalista 💲</t>
  </si>
  <si>
    <t>Streamings 💲</t>
  </si>
  <si>
    <t>Luz 💲</t>
  </si>
  <si>
    <t>Água 💲</t>
  </si>
  <si>
    <t>Telefone/Celular 💲</t>
  </si>
  <si>
    <t>Gás 💲</t>
  </si>
  <si>
    <t>Internet/TV 💲</t>
  </si>
  <si>
    <t>Total de Despesas com Moradia</t>
  </si>
  <si>
    <t>Transporte</t>
  </si>
  <si>
    <t>Financiamento do Carro</t>
  </si>
  <si>
    <t>Seguro Automotivo</t>
  </si>
  <si>
    <t>IPVA</t>
  </si>
  <si>
    <t>Transporte Público (Metrô/Ônibus) 💲</t>
  </si>
  <si>
    <t>Táxi/Uber/99 💲</t>
  </si>
  <si>
    <t>Estacionamento 💲</t>
  </si>
  <si>
    <t>Combustível 💲</t>
  </si>
  <si>
    <t>Total de Despesas com Transporte</t>
  </si>
  <si>
    <t>Saúde</t>
  </si>
  <si>
    <t>Plano de Saúde</t>
  </si>
  <si>
    <t>Seguro de Vida</t>
  </si>
  <si>
    <t>Medicamentos/Farmácia</t>
  </si>
  <si>
    <t>Tratamentos Diversos</t>
  </si>
  <si>
    <t>Total de Despesas com Saúde</t>
  </si>
  <si>
    <t>Educação</t>
  </si>
  <si>
    <t>Creche/Escola/Colégio</t>
  </si>
  <si>
    <t>Faculdade/Universidade</t>
  </si>
  <si>
    <t>VAR.</t>
  </si>
  <si>
    <t>Material Escolar💲</t>
  </si>
  <si>
    <t>Cursos Extras</t>
  </si>
  <si>
    <t>Total de Despesas com Educação</t>
  </si>
  <si>
    <t>Alimentação</t>
  </si>
  <si>
    <t>Supermercado/Feira</t>
  </si>
  <si>
    <t>Cafés e Restaurantes 💲</t>
  </si>
  <si>
    <t>Delivery 💲</t>
  </si>
  <si>
    <t>Total de Despesas com Alimentação</t>
  </si>
  <si>
    <t>Gastos Pessoais e Entretenimento</t>
  </si>
  <si>
    <t>Roupas e Acessórios 💲</t>
  </si>
  <si>
    <t>Presentes 💲</t>
  </si>
  <si>
    <t>Viagens 💲</t>
  </si>
  <si>
    <t>Shows/Teatro 💲</t>
  </si>
  <si>
    <t>Cinema 💲</t>
  </si>
  <si>
    <t>Bares/Restaurantes/Vida Noturna 💲</t>
  </si>
  <si>
    <t>Total de Despesas Pessoais/Entretenimento</t>
  </si>
  <si>
    <t>Beleza e Cuidado Pessoal</t>
  </si>
  <si>
    <t>Manicure/Pedicure</t>
  </si>
  <si>
    <t>Cuidados com Cabelo e/ou Barba</t>
  </si>
  <si>
    <t>Depilação/Estética</t>
  </si>
  <si>
    <t>Academia</t>
  </si>
  <si>
    <t>Total de Despesas com Beleza</t>
  </si>
  <si>
    <t>Pets</t>
  </si>
  <si>
    <t>Veterinário/Medicamentos</t>
  </si>
  <si>
    <t>Petshop (Alimentação/Higiene/Brinquedos)</t>
  </si>
  <si>
    <t>Creche</t>
  </si>
  <si>
    <t>Total de Despesas com Pets</t>
  </si>
  <si>
    <t>Balanço</t>
  </si>
  <si>
    <t>Total em Receitas</t>
  </si>
  <si>
    <t>Total em Investimentos</t>
  </si>
  <si>
    <t>Total em Despesas</t>
  </si>
  <si>
    <t>Saldo</t>
  </si>
  <si>
    <t>Quanto do meu orçamento eu invisto</t>
  </si>
  <si>
    <t>Quanto do meu orçamento é despesa</t>
  </si>
  <si>
    <t>Clique para conferir nosso Guia para poupar dinheiro e gastar menos</t>
  </si>
  <si>
    <t>Quer investir com inteligência? Aprenda a fazer render o dinheirinho que sobra todo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</si>
</sst>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FF5200"/>
      <name val="Helvetica"/>
      <family val="2"/>
    </font>
    <font>
      <b/>
      <sz val="8"/>
      <color rgb="FFEAE2D9"/>
      <name val="Helvetica"/>
      <family val="2"/>
    </font>
    <font>
      <b/>
      <sz val="16"/>
      <color theme="1"/>
      <name val="Helvetica"/>
      <family val="2"/>
    </font>
    <font>
      <b/>
      <sz val="14"/>
      <color theme="1"/>
      <name val="Helvetica"/>
      <family val="2"/>
    </font>
    <font>
      <i/>
      <sz val="10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theme="0"/>
      <name val="Helvetica"/>
      <family val="2"/>
    </font>
    <font>
      <sz val="12"/>
      <color theme="1"/>
      <name val="Helvetica"/>
      <family val="2"/>
    </font>
    <font>
      <sz val="10"/>
      <color theme="1"/>
      <name val="Helvetica"/>
      <family val="2"/>
    </font>
    <font>
      <b/>
      <sz val="11"/>
      <color rgb="FF008256"/>
      <name val="Helvetica"/>
      <family val="2"/>
    </font>
    <font>
      <b/>
      <sz val="11"/>
      <color rgb="FF0070C0"/>
      <name val="Helvetica"/>
      <family val="2"/>
    </font>
    <font>
      <b/>
      <sz val="14"/>
      <color theme="0"/>
      <name val="Helvetica"/>
      <family val="2"/>
    </font>
    <font>
      <b/>
      <sz val="20"/>
      <color rgb="FFFF5200"/>
      <name val="Helvetica"/>
      <family val="2"/>
    </font>
    <font>
      <sz val="14"/>
      <color theme="0"/>
      <name val="Calibri"/>
      <family val="2"/>
      <scheme val="minor"/>
    </font>
    <font>
      <sz val="11"/>
      <color rgb="FFCD7B43"/>
      <name val="Calibri"/>
      <family val="2"/>
      <scheme val="minor"/>
    </font>
    <font>
      <b/>
      <sz val="11"/>
      <color rgb="FFCD7B43"/>
      <name val="Helvetica"/>
      <family val="2"/>
    </font>
    <font>
      <b/>
      <sz val="10"/>
      <color theme="0"/>
      <name val="Helvetica"/>
      <family val="2"/>
    </font>
    <font>
      <sz val="11"/>
      <color rgb="FF2D5857"/>
      <name val="Calibri"/>
      <family val="2"/>
      <scheme val="minor"/>
    </font>
    <font>
      <b/>
      <sz val="11"/>
      <color rgb="FF2D5857"/>
      <name val="Helvetica"/>
      <family val="2"/>
    </font>
    <font>
      <b/>
      <sz val="11"/>
      <color rgb="FFFF795B"/>
      <name val="Helvetica"/>
      <family val="2"/>
    </font>
    <font>
      <sz val="16"/>
      <color theme="1"/>
      <name val="Helvetica"/>
      <family val="2"/>
    </font>
    <font>
      <b/>
      <u/>
      <sz val="16"/>
      <color rgb="FF003234"/>
      <name val="Helvetica"/>
      <family val="2"/>
    </font>
    <font>
      <b/>
      <sz val="11"/>
      <color rgb="FF2D5857"/>
      <name val="Helvetica"/>
    </font>
    <font>
      <b/>
      <sz val="11"/>
      <color rgb="FFFF795B"/>
      <name val="Helvetica"/>
    </font>
    <font>
      <b/>
      <sz val="11"/>
      <color rgb="FFCD7B43"/>
      <name val="Helvetica"/>
    </font>
    <font>
      <sz val="10"/>
      <color theme="1"/>
      <name val="Helvetica"/>
    </font>
    <font>
      <b/>
      <sz val="10"/>
      <color theme="1"/>
      <name val="Helvetica"/>
      <family val="2"/>
    </font>
    <font>
      <b/>
      <sz val="10"/>
      <color theme="1"/>
      <name val="Helvetica"/>
    </font>
    <font>
      <b/>
      <sz val="13"/>
      <color theme="1"/>
      <name val="Helvetica"/>
      <family val="2"/>
    </font>
  </fonts>
  <fills count="28">
    <fill>
      <patternFill patternType="none"/>
    </fill>
    <fill>
      <patternFill patternType="gray125"/>
    </fill>
    <fill>
      <patternFill patternType="solid">
        <fgColor rgb="FFFF52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E2D9"/>
        <bgColor indexed="64"/>
      </patternFill>
    </fill>
    <fill>
      <patternFill patternType="solid">
        <fgColor rgb="FF00B465"/>
        <bgColor indexed="64"/>
      </patternFill>
    </fill>
    <fill>
      <patternFill patternType="solid">
        <fgColor rgb="FFA4C2B9"/>
        <bgColor indexed="64"/>
      </patternFill>
    </fill>
    <fill>
      <patternFill patternType="solid">
        <fgColor rgb="FFC1E1D7"/>
        <bgColor indexed="64"/>
      </patternFill>
    </fill>
    <fill>
      <patternFill patternType="solid">
        <fgColor rgb="FF9193FF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EAEAFF"/>
        <bgColor indexed="64"/>
      </patternFill>
    </fill>
    <fill>
      <patternFill patternType="solid">
        <fgColor rgb="FFCD7B43"/>
        <bgColor indexed="64"/>
      </patternFill>
    </fill>
    <fill>
      <patternFill patternType="solid">
        <fgColor rgb="FFF0E1C5"/>
        <bgColor indexed="64"/>
      </patternFill>
    </fill>
    <fill>
      <patternFill patternType="solid">
        <fgColor rgb="FFF6EEE0"/>
        <bgColor indexed="64"/>
      </patternFill>
    </fill>
    <fill>
      <patternFill patternType="solid">
        <fgColor rgb="FFFF795B"/>
        <bgColor indexed="64"/>
      </patternFill>
    </fill>
    <fill>
      <patternFill patternType="solid">
        <fgColor rgb="FF008256"/>
        <bgColor indexed="64"/>
      </patternFill>
    </fill>
    <fill>
      <patternFill patternType="solid">
        <fgColor rgb="FF2D5857"/>
        <bgColor indexed="64"/>
      </patternFill>
    </fill>
    <fill>
      <patternFill patternType="solid">
        <fgColor rgb="FFC9EAE0"/>
        <bgColor indexed="64"/>
      </patternFill>
    </fill>
    <fill>
      <patternFill patternType="solid">
        <fgColor rgb="FFE6FFF7"/>
        <bgColor indexed="64"/>
      </patternFill>
    </fill>
    <fill>
      <patternFill patternType="solid">
        <fgColor rgb="FFFFAF95"/>
        <bgColor indexed="64"/>
      </patternFill>
    </fill>
    <fill>
      <patternFill patternType="solid">
        <fgColor rgb="FFFFD6C9"/>
        <bgColor indexed="64"/>
      </patternFill>
    </fill>
    <fill>
      <patternFill patternType="solid">
        <fgColor rgb="FF00B466"/>
        <bgColor indexed="64"/>
      </patternFill>
    </fill>
    <fill>
      <patternFill patternType="solid">
        <fgColor rgb="FFFF27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DD8FC"/>
        <bgColor indexed="64"/>
      </patternFill>
    </fill>
    <fill>
      <patternFill patternType="solid">
        <fgColor rgb="FFF4B9AF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 vertical="center"/>
    </xf>
    <xf numFmtId="164" fontId="3" fillId="0" borderId="0" xfId="0" applyNumberFormat="1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3" xfId="0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4" fontId="16" fillId="6" borderId="0" xfId="0" applyNumberFormat="1" applyFont="1" applyFill="1" applyAlignment="1">
      <alignment vertical="center"/>
    </xf>
    <xf numFmtId="164" fontId="16" fillId="7" borderId="0" xfId="0" applyNumberFormat="1" applyFont="1" applyFill="1" applyAlignment="1">
      <alignment vertical="center"/>
    </xf>
    <xf numFmtId="164" fontId="17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6" fillId="13" borderId="0" xfId="0" applyNumberFormat="1" applyFont="1" applyFill="1" applyAlignment="1">
      <alignment vertical="center"/>
    </xf>
    <xf numFmtId="164" fontId="16" fillId="6" borderId="4" xfId="0" applyNumberFormat="1" applyFont="1" applyFill="1" applyBorder="1" applyAlignment="1">
      <alignment vertical="center"/>
    </xf>
    <xf numFmtId="164" fontId="16" fillId="7" borderId="4" xfId="0" applyNumberFormat="1" applyFont="1" applyFill="1" applyBorder="1" applyAlignment="1">
      <alignment vertical="center"/>
    </xf>
    <xf numFmtId="164" fontId="17" fillId="0" borderId="4" xfId="0" applyNumberFormat="1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164" fontId="23" fillId="0" borderId="0" xfId="0" applyNumberFormat="1" applyFont="1" applyAlignment="1">
      <alignment vertical="center"/>
    </xf>
    <xf numFmtId="0" fontId="22" fillId="0" borderId="0" xfId="0" applyFont="1"/>
    <xf numFmtId="0" fontId="24" fillId="0" borderId="0" xfId="0" applyFont="1" applyAlignment="1">
      <alignment horizontal="center" vertical="center" textRotation="90" wrapText="1"/>
    </xf>
    <xf numFmtId="0" fontId="25" fillId="0" borderId="0" xfId="0" applyFont="1" applyAlignment="1">
      <alignment horizontal="center" vertical="center"/>
    </xf>
    <xf numFmtId="164" fontId="26" fillId="0" borderId="0" xfId="0" applyNumberFormat="1" applyFont="1" applyAlignment="1">
      <alignment vertical="center"/>
    </xf>
    <xf numFmtId="0" fontId="25" fillId="0" borderId="0" xfId="0" applyFont="1"/>
    <xf numFmtId="164" fontId="16" fillId="17" borderId="0" xfId="0" applyNumberFormat="1" applyFont="1" applyFill="1" applyAlignment="1">
      <alignment vertical="center"/>
    </xf>
    <xf numFmtId="164" fontId="16" fillId="18" borderId="0" xfId="0" applyNumberFormat="1" applyFont="1" applyFill="1" applyAlignment="1">
      <alignment vertical="center"/>
    </xf>
    <xf numFmtId="164" fontId="27" fillId="0" borderId="0" xfId="0" applyNumberFormat="1" applyFont="1" applyAlignment="1">
      <alignment vertical="center"/>
    </xf>
    <xf numFmtId="164" fontId="16" fillId="19" borderId="0" xfId="0" applyNumberFormat="1" applyFont="1" applyFill="1" applyAlignment="1">
      <alignment vertical="center"/>
    </xf>
    <xf numFmtId="164" fontId="16" fillId="20" borderId="0" xfId="0" applyNumberFormat="1" applyFont="1" applyFill="1" applyAlignment="1">
      <alignment vertical="center"/>
    </xf>
    <xf numFmtId="0" fontId="24" fillId="0" borderId="0" xfId="0" applyFont="1" applyAlignment="1">
      <alignment vertical="center" textRotation="90" wrapText="1"/>
    </xf>
    <xf numFmtId="0" fontId="28" fillId="0" borderId="0" xfId="0" applyFont="1"/>
    <xf numFmtId="164" fontId="16" fillId="18" borderId="1" xfId="0" applyNumberFormat="1" applyFont="1" applyFill="1" applyBorder="1" applyAlignment="1">
      <alignment vertical="center"/>
    </xf>
    <xf numFmtId="164" fontId="16" fillId="24" borderId="2" xfId="0" applyNumberFormat="1" applyFont="1" applyFill="1" applyBorder="1" applyAlignment="1">
      <alignment vertical="center"/>
    </xf>
    <xf numFmtId="164" fontId="16" fillId="25" borderId="2" xfId="0" applyNumberFormat="1" applyFont="1" applyFill="1" applyBorder="1" applyAlignment="1">
      <alignment vertical="center"/>
    </xf>
    <xf numFmtId="10" fontId="10" fillId="23" borderId="1" xfId="0" applyNumberFormat="1" applyFont="1" applyFill="1" applyBorder="1" applyAlignment="1">
      <alignment horizontal="center" vertical="center"/>
    </xf>
    <xf numFmtId="10" fontId="10" fillId="26" borderId="3" xfId="0" applyNumberFormat="1" applyFont="1" applyFill="1" applyBorder="1" applyAlignment="1">
      <alignment horizontal="center" vertical="center"/>
    </xf>
    <xf numFmtId="164" fontId="16" fillId="9" borderId="5" xfId="0" applyNumberFormat="1" applyFont="1" applyFill="1" applyBorder="1" applyAlignment="1">
      <alignment vertical="center"/>
    </xf>
    <xf numFmtId="164" fontId="16" fillId="10" borderId="5" xfId="0" applyNumberFormat="1" applyFont="1" applyFill="1" applyBorder="1" applyAlignment="1">
      <alignment vertical="center"/>
    </xf>
    <xf numFmtId="164" fontId="18" fillId="0" borderId="5" xfId="0" applyNumberFormat="1" applyFont="1" applyBorder="1" applyAlignment="1">
      <alignment vertical="center"/>
    </xf>
    <xf numFmtId="164" fontId="16" fillId="12" borderId="4" xfId="0" applyNumberFormat="1" applyFont="1" applyFill="1" applyBorder="1" applyAlignment="1">
      <alignment vertical="center"/>
    </xf>
    <xf numFmtId="164" fontId="16" fillId="13" borderId="4" xfId="0" applyNumberFormat="1" applyFont="1" applyFill="1" applyBorder="1" applyAlignment="1">
      <alignment vertical="center"/>
    </xf>
    <xf numFmtId="164" fontId="16" fillId="17" borderId="4" xfId="0" applyNumberFormat="1" applyFont="1" applyFill="1" applyBorder="1" applyAlignment="1">
      <alignment vertical="center"/>
    </xf>
    <xf numFmtId="164" fontId="16" fillId="18" borderId="4" xfId="0" applyNumberFormat="1" applyFont="1" applyFill="1" applyBorder="1" applyAlignment="1">
      <alignment vertical="center"/>
    </xf>
    <xf numFmtId="164" fontId="16" fillId="19" borderId="4" xfId="0" applyNumberFormat="1" applyFont="1" applyFill="1" applyBorder="1" applyAlignment="1">
      <alignment vertical="center"/>
    </xf>
    <xf numFmtId="164" fontId="16" fillId="20" borderId="4" xfId="0" applyNumberFormat="1" applyFont="1" applyFill="1" applyBorder="1" applyAlignment="1">
      <alignment vertical="center"/>
    </xf>
    <xf numFmtId="164" fontId="16" fillId="18" borderId="6" xfId="0" applyNumberFormat="1" applyFont="1" applyFill="1" applyBorder="1" applyAlignment="1">
      <alignment vertical="center"/>
    </xf>
    <xf numFmtId="164" fontId="16" fillId="24" borderId="7" xfId="0" applyNumberFormat="1" applyFont="1" applyFill="1" applyBorder="1" applyAlignment="1">
      <alignment vertical="center"/>
    </xf>
    <xf numFmtId="164" fontId="30" fillId="0" borderId="0" xfId="0" applyNumberFormat="1" applyFont="1" applyAlignment="1">
      <alignment vertical="center"/>
    </xf>
    <xf numFmtId="164" fontId="31" fillId="0" borderId="0" xfId="0" applyNumberFormat="1" applyFont="1" applyAlignment="1">
      <alignment vertical="center"/>
    </xf>
    <xf numFmtId="164" fontId="32" fillId="0" borderId="0" xfId="0" applyNumberFormat="1" applyFont="1" applyAlignment="1">
      <alignment vertical="center"/>
    </xf>
    <xf numFmtId="164" fontId="33" fillId="25" borderId="2" xfId="0" applyNumberFormat="1" applyFont="1" applyFill="1" applyBorder="1" applyAlignment="1">
      <alignment vertical="center"/>
    </xf>
    <xf numFmtId="164" fontId="34" fillId="27" borderId="3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4" fontId="33" fillId="6" borderId="4" xfId="0" applyNumberFormat="1" applyFont="1" applyFill="1" applyBorder="1" applyAlignment="1">
      <alignment vertical="center"/>
    </xf>
    <xf numFmtId="10" fontId="0" fillId="0" borderId="0" xfId="0" applyNumberFormat="1"/>
    <xf numFmtId="164" fontId="33" fillId="13" borderId="4" xfId="0" applyNumberFormat="1" applyFont="1" applyFill="1" applyBorder="1" applyAlignment="1">
      <alignment vertical="center"/>
    </xf>
    <xf numFmtId="164" fontId="35" fillId="27" borderId="3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36" fillId="23" borderId="1" xfId="0" applyFont="1" applyFill="1" applyBorder="1" applyAlignment="1">
      <alignment horizontal="left" vertical="center" indent="1"/>
    </xf>
    <xf numFmtId="0" fontId="36" fillId="26" borderId="3" xfId="0" applyFont="1" applyFill="1" applyBorder="1" applyAlignment="1">
      <alignment horizontal="left" vertical="center" indent="1"/>
    </xf>
    <xf numFmtId="0" fontId="15" fillId="6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7" fillId="0" borderId="0" xfId="0" applyFont="1" applyAlignment="1">
      <alignment horizontal="right" vertical="center" indent="1"/>
    </xf>
    <xf numFmtId="0" fontId="19" fillId="5" borderId="0" xfId="0" applyFont="1" applyFill="1" applyAlignment="1">
      <alignment horizontal="center" vertical="center" textRotation="90" wrapText="1"/>
    </xf>
    <xf numFmtId="0" fontId="19" fillId="5" borderId="1" xfId="0" applyFont="1" applyFill="1" applyBorder="1" applyAlignment="1">
      <alignment horizontal="center" vertical="center" textRotation="90" wrapText="1"/>
    </xf>
    <xf numFmtId="0" fontId="11" fillId="4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right" vertical="center" indent="1"/>
    </xf>
    <xf numFmtId="0" fontId="9" fillId="4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textRotation="90"/>
    </xf>
    <xf numFmtId="0" fontId="21" fillId="8" borderId="0" xfId="0" applyFont="1" applyFill="1" applyAlignment="1">
      <alignment horizontal="center" vertical="center" textRotation="90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4" fillId="15" borderId="0" xfId="0" applyFont="1" applyFill="1" applyAlignment="1">
      <alignment horizontal="center" vertical="center" textRotation="90" wrapText="1"/>
    </xf>
    <xf numFmtId="0" fontId="15" fillId="13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 wrapText="1" indent="10"/>
    </xf>
    <xf numFmtId="0" fontId="15" fillId="12" borderId="0" xfId="0" applyFont="1" applyFill="1" applyAlignment="1">
      <alignment horizontal="left" vertical="center"/>
    </xf>
    <xf numFmtId="0" fontId="23" fillId="0" borderId="0" xfId="0" applyFont="1" applyAlignment="1">
      <alignment horizontal="right" vertical="center" indent="1"/>
    </xf>
    <xf numFmtId="0" fontId="11" fillId="0" borderId="0" xfId="0" applyFont="1" applyAlignment="1">
      <alignment horizontal="center" vertical="center" wrapText="1"/>
    </xf>
    <xf numFmtId="0" fontId="19" fillId="11" borderId="0" xfId="0" applyFont="1" applyFill="1" applyAlignment="1">
      <alignment horizontal="center" vertical="center" textRotation="90"/>
    </xf>
    <xf numFmtId="0" fontId="19" fillId="11" borderId="1" xfId="0" applyFont="1" applyFill="1" applyBorder="1" applyAlignment="1">
      <alignment horizontal="center" vertical="center" textRotation="90"/>
    </xf>
    <xf numFmtId="0" fontId="15" fillId="20" borderId="0" xfId="0" applyFont="1" applyFill="1" applyAlignment="1">
      <alignment horizontal="left" vertical="center"/>
    </xf>
    <xf numFmtId="0" fontId="26" fillId="0" borderId="0" xfId="0" applyFont="1" applyAlignment="1">
      <alignment horizontal="right" vertical="center" indent="1"/>
    </xf>
    <xf numFmtId="0" fontId="19" fillId="14" borderId="0" xfId="0" applyFont="1" applyFill="1" applyAlignment="1">
      <alignment horizontal="center" vertical="center" textRotation="90"/>
    </xf>
    <xf numFmtId="0" fontId="15" fillId="19" borderId="0" xfId="0" applyFont="1" applyFill="1" applyAlignment="1">
      <alignment horizontal="left" vertical="center"/>
    </xf>
    <xf numFmtId="0" fontId="19" fillId="16" borderId="0" xfId="0" applyFont="1" applyFill="1" applyAlignment="1">
      <alignment horizontal="center" vertical="center" textRotation="90"/>
    </xf>
    <xf numFmtId="0" fontId="15" fillId="17" borderId="0" xfId="0" applyFont="1" applyFill="1" applyAlignment="1">
      <alignment horizontal="left" vertical="center"/>
    </xf>
    <xf numFmtId="0" fontId="15" fillId="18" borderId="0" xfId="0" applyFont="1" applyFill="1" applyAlignment="1">
      <alignment horizontal="left" vertical="center"/>
    </xf>
    <xf numFmtId="0" fontId="27" fillId="0" borderId="0" xfId="0" applyFont="1" applyAlignment="1">
      <alignment horizontal="right" vertical="center" indent="1"/>
    </xf>
    <xf numFmtId="0" fontId="24" fillId="0" borderId="0" xfId="0" applyFont="1" applyAlignment="1">
      <alignment horizontal="center" vertical="center" textRotation="90" wrapText="1"/>
    </xf>
    <xf numFmtId="0" fontId="19" fillId="14" borderId="0" xfId="0" applyFont="1" applyFill="1" applyAlignment="1">
      <alignment horizontal="center" vertical="center" textRotation="90" wrapText="1"/>
    </xf>
    <xf numFmtId="0" fontId="19" fillId="11" borderId="0" xfId="0" applyFont="1" applyFill="1" applyAlignment="1">
      <alignment horizontal="center" vertical="center" textRotation="90" wrapText="1"/>
    </xf>
    <xf numFmtId="0" fontId="1" fillId="0" borderId="0" xfId="0" applyFont="1" applyAlignment="1">
      <alignment horizontal="center" vertical="center"/>
    </xf>
    <xf numFmtId="0" fontId="29" fillId="14" borderId="0" xfId="1" applyFont="1" applyFill="1" applyAlignment="1">
      <alignment horizontal="center" vertical="center"/>
    </xf>
    <xf numFmtId="0" fontId="29" fillId="19" borderId="0" xfId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4" fillId="21" borderId="1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left" vertical="center"/>
    </xf>
    <xf numFmtId="0" fontId="14" fillId="22" borderId="2" xfId="0" applyFont="1" applyFill="1" applyBorder="1" applyAlignment="1">
      <alignment horizontal="left" vertical="center"/>
    </xf>
    <xf numFmtId="0" fontId="34" fillId="27" borderId="3" xfId="0" applyFont="1" applyFill="1" applyBorder="1" applyAlignment="1">
      <alignment horizontal="right" vertical="center" indent="1"/>
    </xf>
    <xf numFmtId="164" fontId="18" fillId="0" borderId="0" xfId="0" applyNumberFormat="1" applyFont="1" applyBorder="1" applyAlignment="1">
      <alignment vertical="center"/>
    </xf>
    <xf numFmtId="164" fontId="16" fillId="9" borderId="8" xfId="0" applyNumberFormat="1" applyFont="1" applyFill="1" applyBorder="1" applyAlignment="1">
      <alignment vertical="center"/>
    </xf>
    <xf numFmtId="164" fontId="16" fillId="10" borderId="8" xfId="0" applyNumberFormat="1" applyFont="1" applyFill="1" applyBorder="1" applyAlignment="1">
      <alignment vertical="center"/>
    </xf>
    <xf numFmtId="164" fontId="18" fillId="0" borderId="8" xfId="0" applyNumberFormat="1" applyFont="1" applyBorder="1" applyAlignment="1">
      <alignment vertical="center"/>
    </xf>
    <xf numFmtId="164" fontId="16" fillId="9" borderId="0" xfId="0" applyNumberFormat="1" applyFont="1" applyFill="1" applyBorder="1" applyAlignment="1">
      <alignment vertical="center"/>
    </xf>
    <xf numFmtId="164" fontId="16" fillId="10" borderId="0" xfId="0" applyNumberFormat="1" applyFont="1" applyFill="1" applyBorder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B5B5B5"/>
      <color rgb="FFEFEFEF"/>
      <color rgb="FF76967C"/>
      <color rgb="FF9193FF"/>
      <color rgb="FF00484D"/>
      <color rgb="FFFFAF95"/>
      <color rgb="FF003234"/>
      <color rgb="FFFF795B"/>
      <color rgb="FFFF5200"/>
      <color rgb="FFEBE2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Receitas, Investimentos, Despesas e Saldo ao longo do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Planejamento!$A$103</c:f>
              <c:strCache>
                <c:ptCount val="1"/>
                <c:pt idx="0">
                  <c:v>Total em Receitas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D966"/>
              </a:solidFill>
              <a:ln w="25400">
                <a:noFill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Planejamento!$B$1:$O$1</c15:sqref>
                  </c15:fullRef>
                </c:ext>
              </c:extLst>
              <c:f>Planejamento!$E$1:$O$1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Planejamento!$B$103:$O$103</c15:sqref>
                  </c15:fullRef>
                </c:ext>
              </c:extLst>
              <c:f>Planejamento!$E$103:$O$103</c:f>
              <c:numCache>
                <c:formatCode>General</c:formatCode>
                <c:ptCount val="11"/>
                <c:pt idx="0" formatCode="_-[$R$-416]\ * #,##0.00_-;\-[$R$-416]\ * #,##0.00_-;_-[$R$-416]\ * &quot;-&quot;??_-;_-@_-">
                  <c:v>0</c:v>
                </c:pt>
                <c:pt idx="1" formatCode="_-[$R$-416]\ * #,##0.00_-;\-[$R$-416]\ * #,##0.00_-;_-[$R$-416]\ * &quot;-&quot;??_-;_-@_-">
                  <c:v>0</c:v>
                </c:pt>
                <c:pt idx="2" formatCode="_-[$R$-416]\ * #,##0.00_-;\-[$R$-416]\ * #,##0.00_-;_-[$R$-416]\ * &quot;-&quot;??_-;_-@_-">
                  <c:v>0</c:v>
                </c:pt>
                <c:pt idx="3" formatCode="_-[$R$-416]\ * #,##0.00_-;\-[$R$-416]\ * #,##0.00_-;_-[$R$-416]\ * &quot;-&quot;??_-;_-@_-">
                  <c:v>0</c:v>
                </c:pt>
                <c:pt idx="4" formatCode="_-[$R$-416]\ * #,##0.00_-;\-[$R$-416]\ * #,##0.00_-;_-[$R$-416]\ * &quot;-&quot;??_-;_-@_-">
                  <c:v>0</c:v>
                </c:pt>
                <c:pt idx="5" formatCode="_-[$R$-416]\ * #,##0.00_-;\-[$R$-416]\ * #,##0.00_-;_-[$R$-416]\ * &quot;-&quot;??_-;_-@_-">
                  <c:v>0</c:v>
                </c:pt>
                <c:pt idx="6" formatCode="_-[$R$-416]\ * #,##0.00_-;\-[$R$-416]\ * #,##0.00_-;_-[$R$-416]\ * &quot;-&quot;??_-;_-@_-">
                  <c:v>0</c:v>
                </c:pt>
                <c:pt idx="7" formatCode="_-[$R$-416]\ * #,##0.00_-;\-[$R$-416]\ * #,##0.00_-;_-[$R$-416]\ * &quot;-&quot;??_-;_-@_-">
                  <c:v>0</c:v>
                </c:pt>
                <c:pt idx="8" formatCode="_-[$R$-416]\ * #,##0.00_-;\-[$R$-416]\ * #,##0.00_-;_-[$R$-416]\ * &quot;-&quot;??_-;_-@_-">
                  <c:v>0</c:v>
                </c:pt>
                <c:pt idx="9" formatCode="_-[$R$-416]\ * #,##0.00_-;\-[$R$-416]\ * #,##0.00_-;_-[$R$-416]\ * &quot;-&quot;??_-;_-@_-">
                  <c:v>0</c:v>
                </c:pt>
                <c:pt idx="10" formatCode="_-[$R$-416]\ * #,##0.00_-;\-[$R$-416]\ * #,##0.00_-;_-[$R$-416]\ 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4-40CE-8F1E-E510C6A6A02F}"/>
            </c:ext>
          </c:extLst>
        </c:ser>
        <c:ser>
          <c:idx val="2"/>
          <c:order val="1"/>
          <c:tx>
            <c:strRef>
              <c:f>Planejamento!$A$104</c:f>
              <c:strCache>
                <c:ptCount val="1"/>
                <c:pt idx="0">
                  <c:v>Total em Investimentos</c:v>
                </c:pt>
              </c:strCache>
            </c:strRef>
          </c:tx>
          <c:spPr>
            <a:ln w="28575" cap="rnd">
              <a:solidFill>
                <a:srgbClr val="2F75B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9BD5"/>
              </a:solidFill>
              <a:ln w="25400">
                <a:noFill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Planejamento!$B$1:$O$1</c15:sqref>
                  </c15:fullRef>
                </c:ext>
              </c:extLst>
              <c:f>Planejamento!$E$1:$O$1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Planejamento!$B$104:$O$104</c15:sqref>
                  </c15:fullRef>
                </c:ext>
              </c:extLst>
              <c:f>Planejamento!$E$104:$O$104</c:f>
              <c:numCache>
                <c:formatCode>General</c:formatCode>
                <c:ptCount val="11"/>
                <c:pt idx="0" formatCode="_-[$R$-416]\ * #,##0.00_-;\-[$R$-416]\ * #,##0.00_-;_-[$R$-416]\ * &quot;-&quot;??_-;_-@_-">
                  <c:v>0</c:v>
                </c:pt>
                <c:pt idx="1" formatCode="_-[$R$-416]\ * #,##0.00_-;\-[$R$-416]\ * #,##0.00_-;_-[$R$-416]\ * &quot;-&quot;??_-;_-@_-">
                  <c:v>0</c:v>
                </c:pt>
                <c:pt idx="2" formatCode="_-[$R$-416]\ * #,##0.00_-;\-[$R$-416]\ * #,##0.00_-;_-[$R$-416]\ * &quot;-&quot;??_-;_-@_-">
                  <c:v>0</c:v>
                </c:pt>
                <c:pt idx="3" formatCode="_-[$R$-416]\ * #,##0.00_-;\-[$R$-416]\ * #,##0.00_-;_-[$R$-416]\ * &quot;-&quot;??_-;_-@_-">
                  <c:v>0</c:v>
                </c:pt>
                <c:pt idx="4" formatCode="_-[$R$-416]\ * #,##0.00_-;\-[$R$-416]\ * #,##0.00_-;_-[$R$-416]\ * &quot;-&quot;??_-;_-@_-">
                  <c:v>0</c:v>
                </c:pt>
                <c:pt idx="5" formatCode="_-[$R$-416]\ * #,##0.00_-;\-[$R$-416]\ * #,##0.00_-;_-[$R$-416]\ * &quot;-&quot;??_-;_-@_-">
                  <c:v>0</c:v>
                </c:pt>
                <c:pt idx="6" formatCode="_-[$R$-416]\ * #,##0.00_-;\-[$R$-416]\ * #,##0.00_-;_-[$R$-416]\ * &quot;-&quot;??_-;_-@_-">
                  <c:v>0</c:v>
                </c:pt>
                <c:pt idx="7" formatCode="_-[$R$-416]\ * #,##0.00_-;\-[$R$-416]\ * #,##0.00_-;_-[$R$-416]\ * &quot;-&quot;??_-;_-@_-">
                  <c:v>0</c:v>
                </c:pt>
                <c:pt idx="8" formatCode="_-[$R$-416]\ * #,##0.00_-;\-[$R$-416]\ * #,##0.00_-;_-[$R$-416]\ * &quot;-&quot;??_-;_-@_-">
                  <c:v>0</c:v>
                </c:pt>
                <c:pt idx="9" formatCode="_-[$R$-416]\ * #,##0.00_-;\-[$R$-416]\ * #,##0.00_-;_-[$R$-416]\ * &quot;-&quot;??_-;_-@_-">
                  <c:v>0</c:v>
                </c:pt>
                <c:pt idx="10" formatCode="_-[$R$-416]\ * #,##0.00_-;\-[$R$-416]\ * #,##0.00_-;_-[$R$-416]\ 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4-40CE-8F1E-E510C6A6A02F}"/>
            </c:ext>
          </c:extLst>
        </c:ser>
        <c:ser>
          <c:idx val="3"/>
          <c:order val="2"/>
          <c:tx>
            <c:strRef>
              <c:f>Planejamento!$A$105</c:f>
              <c:strCache>
                <c:ptCount val="1"/>
                <c:pt idx="0">
                  <c:v>Total em Despesas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noFill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Planejamento!$B$1:$O$1</c15:sqref>
                  </c15:fullRef>
                </c:ext>
              </c:extLst>
              <c:f>Planejamento!$E$1:$O$1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Planejamento!$B$105:$O$105</c15:sqref>
                  </c15:fullRef>
                </c:ext>
              </c:extLst>
              <c:f>Planejamento!$E$105:$O$105</c:f>
              <c:numCache>
                <c:formatCode>General</c:formatCode>
                <c:ptCount val="11"/>
                <c:pt idx="0" formatCode="_-[$R$-416]\ * #,##0.00_-;\-[$R$-416]\ * #,##0.00_-;_-[$R$-416]\ * &quot;-&quot;??_-;_-@_-">
                  <c:v>0</c:v>
                </c:pt>
                <c:pt idx="1" formatCode="_-[$R$-416]\ * #,##0.00_-;\-[$R$-416]\ * #,##0.00_-;_-[$R$-416]\ * &quot;-&quot;??_-;_-@_-">
                  <c:v>0</c:v>
                </c:pt>
                <c:pt idx="2" formatCode="_-[$R$-416]\ * #,##0.00_-;\-[$R$-416]\ * #,##0.00_-;_-[$R$-416]\ * &quot;-&quot;??_-;_-@_-">
                  <c:v>0</c:v>
                </c:pt>
                <c:pt idx="3" formatCode="_-[$R$-416]\ * #,##0.00_-;\-[$R$-416]\ * #,##0.00_-;_-[$R$-416]\ * &quot;-&quot;??_-;_-@_-">
                  <c:v>0</c:v>
                </c:pt>
                <c:pt idx="4" formatCode="_-[$R$-416]\ * #,##0.00_-;\-[$R$-416]\ * #,##0.00_-;_-[$R$-416]\ * &quot;-&quot;??_-;_-@_-">
                  <c:v>0</c:v>
                </c:pt>
                <c:pt idx="5" formatCode="_-[$R$-416]\ * #,##0.00_-;\-[$R$-416]\ * #,##0.00_-;_-[$R$-416]\ * &quot;-&quot;??_-;_-@_-">
                  <c:v>0</c:v>
                </c:pt>
                <c:pt idx="6" formatCode="_-[$R$-416]\ * #,##0.00_-;\-[$R$-416]\ * #,##0.00_-;_-[$R$-416]\ * &quot;-&quot;??_-;_-@_-">
                  <c:v>0</c:v>
                </c:pt>
                <c:pt idx="7" formatCode="_-[$R$-416]\ * #,##0.00_-;\-[$R$-416]\ * #,##0.00_-;_-[$R$-416]\ * &quot;-&quot;??_-;_-@_-">
                  <c:v>0</c:v>
                </c:pt>
                <c:pt idx="8" formatCode="_-[$R$-416]\ * #,##0.00_-;\-[$R$-416]\ * #,##0.00_-;_-[$R$-416]\ * &quot;-&quot;??_-;_-@_-">
                  <c:v>0</c:v>
                </c:pt>
                <c:pt idx="9" formatCode="_-[$R$-416]\ * #,##0.00_-;\-[$R$-416]\ * #,##0.00_-;_-[$R$-416]\ * &quot;-&quot;??_-;_-@_-">
                  <c:v>0</c:v>
                </c:pt>
                <c:pt idx="10" formatCode="_-[$R$-416]\ * #,##0.00_-;\-[$R$-416]\ * #,##0.00_-;_-[$R$-416]\ 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4-40CE-8F1E-E510C6A6A02F}"/>
            </c:ext>
          </c:extLst>
        </c:ser>
        <c:ser>
          <c:idx val="0"/>
          <c:order val="3"/>
          <c:tx>
            <c:strRef>
              <c:f>Planejamento!$A$106</c:f>
              <c:strCache>
                <c:ptCount val="1"/>
                <c:pt idx="0">
                  <c:v>Saldo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25400">
                <a:noFill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Planejamento!$B$1:$O$1</c15:sqref>
                  </c15:fullRef>
                </c:ext>
              </c:extLst>
              <c:f>Planejamento!$E$1:$O$1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Planejamento!$B$106:$O$106</c15:sqref>
                  </c15:fullRef>
                </c:ext>
              </c:extLst>
              <c:f>Planejamento!$E$106:$O$106</c:f>
              <c:numCache>
                <c:formatCode>General</c:formatCode>
                <c:ptCount val="11"/>
                <c:pt idx="0" formatCode="_-[$R$-416]\ * #,##0.00_-;\-[$R$-416]\ * #,##0.00_-;_-[$R$-416]\ * &quot;-&quot;??_-;_-@_-">
                  <c:v>0</c:v>
                </c:pt>
                <c:pt idx="1" formatCode="_-[$R$-416]\ * #,##0.00_-;\-[$R$-416]\ * #,##0.00_-;_-[$R$-416]\ * &quot;-&quot;??_-;_-@_-">
                  <c:v>0</c:v>
                </c:pt>
                <c:pt idx="2" formatCode="_-[$R$-416]\ * #,##0.00_-;\-[$R$-416]\ * #,##0.00_-;_-[$R$-416]\ * &quot;-&quot;??_-;_-@_-">
                  <c:v>0</c:v>
                </c:pt>
                <c:pt idx="3" formatCode="_-[$R$-416]\ * #,##0.00_-;\-[$R$-416]\ * #,##0.00_-;_-[$R$-416]\ * &quot;-&quot;??_-;_-@_-">
                  <c:v>0</c:v>
                </c:pt>
                <c:pt idx="4" formatCode="_-[$R$-416]\ * #,##0.00_-;\-[$R$-416]\ * #,##0.00_-;_-[$R$-416]\ * &quot;-&quot;??_-;_-@_-">
                  <c:v>0</c:v>
                </c:pt>
                <c:pt idx="5" formatCode="_-[$R$-416]\ * #,##0.00_-;\-[$R$-416]\ * #,##0.00_-;_-[$R$-416]\ * &quot;-&quot;??_-;_-@_-">
                  <c:v>0</c:v>
                </c:pt>
                <c:pt idx="6" formatCode="_-[$R$-416]\ * #,##0.00_-;\-[$R$-416]\ * #,##0.00_-;_-[$R$-416]\ * &quot;-&quot;??_-;_-@_-">
                  <c:v>0</c:v>
                </c:pt>
                <c:pt idx="7" formatCode="_-[$R$-416]\ * #,##0.00_-;\-[$R$-416]\ * #,##0.00_-;_-[$R$-416]\ * &quot;-&quot;??_-;_-@_-">
                  <c:v>0</c:v>
                </c:pt>
                <c:pt idx="8" formatCode="_-[$R$-416]\ * #,##0.00_-;\-[$R$-416]\ * #,##0.00_-;_-[$R$-416]\ * &quot;-&quot;??_-;_-@_-">
                  <c:v>0</c:v>
                </c:pt>
                <c:pt idx="9" formatCode="_-[$R$-416]\ * #,##0.00_-;\-[$R$-416]\ * #,##0.00_-;_-[$R$-416]\ * &quot;-&quot;??_-;_-@_-">
                  <c:v>0</c:v>
                </c:pt>
                <c:pt idx="10" formatCode="_-[$R$-416]\ * #,##0.00_-;\-[$R$-416]\ * #,##0.00_-;_-[$R$-416]\ 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84-40CE-8F1E-E510C6A6A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750047"/>
        <c:axId val="1609822415"/>
      </c:lineChart>
      <c:catAx>
        <c:axId val="48775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00484D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609822415"/>
        <c:crosses val="autoZero"/>
        <c:auto val="1"/>
        <c:lblAlgn val="ctr"/>
        <c:lblOffset val="100"/>
        <c:noMultiLvlLbl val="0"/>
      </c:catAx>
      <c:valAx>
        <c:axId val="16098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DEDED"/>
              </a:solidFill>
              <a:prstDash val="solid"/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00484D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8775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855190901015509"/>
          <c:y val="0.10601336302895323"/>
          <c:w val="0.58185325720078862"/>
          <c:h val="5.0670314317614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Distribuição das despesas</a:t>
            </a:r>
          </a:p>
        </c:rich>
      </c:tx>
      <c:layout>
        <c:manualLayout>
          <c:xMode val="edge"/>
          <c:yMode val="edge"/>
          <c:x val="0.2987640418543438"/>
          <c:y val="2.360026041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ln>
                <a:noFill/>
              </a:ln>
              <a:solidFill>
                <a:schemeClr val="tx1"/>
              </a:solidFill>
              <a:latin typeface="Arial"/>
              <a:ea typeface="Arial"/>
              <a:cs typeface="Arial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D2-406C-9AF9-19DC80A6EE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D2-406C-9AF9-19DC80A6EE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D2-406C-9AF9-19DC80A6EE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D2-406C-9AF9-19DC80A6EE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D2-406C-9AF9-19DC80A6EE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D2-406C-9AF9-19DC80A6EE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D2-406C-9AF9-19DC80A6EE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D2-406C-9AF9-19DC80A6EE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ln>
                      <a:noFill/>
                    </a:ln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rgbClr val="0D0D0D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(Planejamento!$A$25,Planejamento!$A$41,Planejamento!$A$52,Planejamento!$A$60,Planejamento!$A$68,Planejamento!$A$75,Planejamento!$A$85,Planejamento!$A$93)</c:f>
              <c:strCache>
                <c:ptCount val="8"/>
                <c:pt idx="0">
                  <c:v>Moradia</c:v>
                </c:pt>
                <c:pt idx="1">
                  <c:v>Transporte</c:v>
                </c:pt>
                <c:pt idx="2">
                  <c:v>Saúde</c:v>
                </c:pt>
                <c:pt idx="3">
                  <c:v>Educação</c:v>
                </c:pt>
                <c:pt idx="4">
                  <c:v>Alimentação</c:v>
                </c:pt>
                <c:pt idx="5">
                  <c:v>Gastos Pessoais e Entretenimento</c:v>
                </c:pt>
                <c:pt idx="6">
                  <c:v>Beleza e Cuidado Pessoal</c:v>
                </c:pt>
                <c:pt idx="7">
                  <c:v>Pets</c:v>
                </c:pt>
              </c:strCache>
            </c:strRef>
          </c:cat>
          <c:val>
            <c:numRef>
              <c:f>(Planejamento!$P$39,Planejamento!$P$50,Planejamento!$P$58,Planejamento!$P$66,Planejamento!$P$73,Planejamento!$P$83,Planejamento!$P$91,Planejamento!$P$99)</c:f>
              <c:numCache>
                <c:formatCode>_-[$R$-416]\ * #,##0.00_-;\-[$R$-416]\ * #,##0.00_-;_-[$R$-416]\ 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1D2-406C-9AF9-19DC80A6E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893021159779244"/>
          <c:y val="9.2202340415307935E-2"/>
          <c:w val="0.74885446737132177"/>
          <c:h val="0.127278824995360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ln>
                <a:noFill/>
              </a:ln>
              <a:solidFill>
                <a:schemeClr val="tx1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_xlchart.v1.13</cx:f>
      </cx:numDim>
    </cx:data>
  </cx:chartData>
  <cx:chart>
    <cx:title pos="t" align="ctr" overlay="0">
      <cx:tx>
        <cx:txData>
          <cx:v>Moradia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Moradia</a:t>
          </a:r>
        </a:p>
      </cx:txPr>
    </cx:title>
    <cx:plotArea>
      <cx:plotAreaRegion>
        <cx:series layoutId="treemap" uniqueId="{70A988D6-B75F-42E5-B8E7-E2510AB50DB7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size">
        <cx:f>_xlchart.v1.11</cx:f>
      </cx:numDim>
    </cx:data>
  </cx:chartData>
  <cx:chart>
    <cx:title pos="t" align="ctr" overlay="0">
      <cx:tx>
        <cx:txData>
          <cx:v>Transporte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Transporte</a:t>
          </a:r>
        </a:p>
      </cx:txPr>
    </cx:title>
    <cx:plotArea>
      <cx:plotAreaRegion>
        <cx:series layoutId="treemap" uniqueId="{C6928B2D-5DF5-4B9B-B4F9-A12E519AD7E7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size">
        <cx:f>_xlchart.v1.15</cx:f>
      </cx:numDim>
    </cx:data>
  </cx:chartData>
  <cx:chart>
    <cx:title pos="t" align="ctr" overlay="0">
      <cx:tx>
        <cx:txData>
          <cx:v>Saúde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Saúde</a:t>
          </a:r>
        </a:p>
      </cx:txPr>
    </cx:title>
    <cx:plotArea>
      <cx:plotAreaRegion>
        <cx:series layoutId="treemap" uniqueId="{979E5772-86BF-4A60-A391-B167FD821A59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Educação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Educação</a:t>
          </a:r>
        </a:p>
      </cx:txPr>
    </cx:title>
    <cx:plotArea>
      <cx:plotAreaRegion>
        <cx:series layoutId="treemap" uniqueId="{57211B92-CABA-4B88-A647-08D371B80C40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0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Alimentação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Alimentação</a:t>
          </a:r>
        </a:p>
      </cx:txPr>
    </cx:title>
    <cx:plotArea>
      <cx:plotAreaRegion>
        <cx:series layoutId="treemap" uniqueId="{59C14722-AD6B-4134-B013-625EC0A57E82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Gastos pessoais e Entretenimento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Gastos pessoais e Entretenimento</a:t>
          </a:r>
        </a:p>
      </cx:txPr>
    </cx:title>
    <cx:plotArea>
      <cx:plotAreaRegion>
        <cx:series layoutId="treemap" uniqueId="{CA7BE9A8-42EF-43D1-9E34-214E4D2FE08E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title pos="t" align="ctr" overlay="0">
      <cx:tx>
        <cx:txData>
          <cx:v>Beleza e cuidado pessoal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Beleza e cuidado pessoal</a:t>
          </a:r>
        </a:p>
      </cx:txPr>
    </cx:title>
    <cx:plotArea>
      <cx:plotAreaRegion>
        <cx:series layoutId="treemap" uniqueId="{7BB30646-B855-4F63-8ECA-83ECEAA416CF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_xlchart.v1.9</cx:f>
      </cx:numDim>
    </cx:data>
  </cx:chartData>
  <cx:chart>
    <cx:title pos="t" align="ctr" overlay="0">
      <cx:tx>
        <cx:txData>
          <cx:v>Pets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1" i="0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rPr kumimoji="0" lang="pt-BR" sz="14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Pets</a:t>
          </a:r>
        </a:p>
      </cx:txPr>
    </cx:title>
    <cx:plotArea>
      <cx:plotAreaRegion>
        <cx:series layoutId="treemap" uniqueId="{40C88CED-C9CE-4EA0-9688-7C8E9FDFD7EB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800" b="1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800" b="1">
                  <a:solidFill>
                    <a:srgbClr val="FFFFFF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sz="10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7.xml"/><Relationship Id="rId3" Type="http://schemas.microsoft.com/office/2014/relationships/chartEx" Target="../charts/chartEx2.xml"/><Relationship Id="rId7" Type="http://schemas.microsoft.com/office/2014/relationships/chartEx" Target="../charts/chartEx6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6" Type="http://schemas.microsoft.com/office/2014/relationships/chartEx" Target="../charts/chartEx5.xml"/><Relationship Id="rId5" Type="http://schemas.microsoft.com/office/2014/relationships/chartEx" Target="../charts/chartEx4.xml"/><Relationship Id="rId4" Type="http://schemas.microsoft.com/office/2014/relationships/chartEx" Target="../charts/chartEx3.xml"/><Relationship Id="rId9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179918</xdr:colOff>
      <xdr:row>0</xdr:row>
      <xdr:rowOff>95250</xdr:rowOff>
    </xdr:from>
    <xdr:to>
      <xdr:col>0</xdr:col>
      <xdr:colOff>582578</xdr:colOff>
      <xdr:row>1</xdr:row>
      <xdr:rowOff>311150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357A8-3F5C-E9CD-A817-F6932DE64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18" y="95250"/>
          <a:ext cx="396310" cy="603250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110</xdr:row>
      <xdr:rowOff>219075</xdr:rowOff>
    </xdr:from>
    <xdr:to>
      <xdr:col>3</xdr:col>
      <xdr:colOff>400050</xdr:colOff>
      <xdr:row>113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72559F-421C-4D1D-49D6-FE6080B9A00B}"/>
            </a:ext>
            <a:ext uri="{147F2762-F138-4A5C-976F-8EAC2B608ADB}">
              <a16:predDERef xmlns:a16="http://schemas.microsoft.com/office/drawing/2014/main" pred="{2B4357A8-3F5C-E9CD-A817-F6932DE64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" y="31137225"/>
          <a:ext cx="2333625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16</xdr:col>
      <xdr:colOff>561975</xdr:colOff>
      <xdr:row>23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8FB8FA-C7F3-45D7-9A93-2164F89FB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114300</xdr:rowOff>
    </xdr:from>
    <xdr:to>
      <xdr:col>10</xdr:col>
      <xdr:colOff>600075</xdr:colOff>
      <xdr:row>42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5C079F-0DC3-4086-BDFE-5CEC00C28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0</xdr:row>
      <xdr:rowOff>123825</xdr:rowOff>
    </xdr:from>
    <xdr:to>
      <xdr:col>21</xdr:col>
      <xdr:colOff>0</xdr:colOff>
      <xdr:row>22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8DDBF86-AD7E-4C58-9103-C4B77E7D80CC}"/>
                </a:ext>
                <a:ext uri="{147F2762-F138-4A5C-976F-8EAC2B608ADB}">
                  <a16:predDERef xmlns:a16="http://schemas.microsoft.com/office/drawing/2014/main" pred="{6C5C079F-0DC3-4086-BDFE-5CEC00C28E9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96075" y="123825"/>
              <a:ext cx="6105525" cy="392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22</xdr:row>
      <xdr:rowOff>0</xdr:rowOff>
    </xdr:from>
    <xdr:to>
      <xdr:col>21</xdr:col>
      <xdr:colOff>9525</xdr:colOff>
      <xdr:row>42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1044BBC-333B-4FB1-AE4F-6B23BC763C96}"/>
                </a:ext>
                <a:ext uri="{147F2762-F138-4A5C-976F-8EAC2B608ADB}">
                  <a16:predDERef xmlns:a16="http://schemas.microsoft.com/office/drawing/2014/main" pred="{18DDBF86-AD7E-4C58-9103-C4B77E7D80CC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0" y="4051300"/>
              <a:ext cx="6105525" cy="374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10</xdr:col>
      <xdr:colOff>600075</xdr:colOff>
      <xdr:row>42</xdr:row>
      <xdr:rowOff>47625</xdr:rowOff>
    </xdr:from>
    <xdr:to>
      <xdr:col>21</xdr:col>
      <xdr:colOff>0</xdr:colOff>
      <xdr:row>62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E278A95C-0DBC-4F02-8950-4A64EE4E9045}"/>
                </a:ext>
                <a:ext uri="{147F2762-F138-4A5C-976F-8EAC2B608ADB}">
                  <a16:predDERef xmlns:a16="http://schemas.microsoft.com/office/drawing/2014/main" pred="{91044BBC-333B-4FB1-AE4F-6B23BC763C9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96075" y="7781925"/>
              <a:ext cx="6105525" cy="375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0</xdr:colOff>
      <xdr:row>21</xdr:row>
      <xdr:rowOff>66675</xdr:rowOff>
    </xdr:from>
    <xdr:to>
      <xdr:col>31</xdr:col>
      <xdr:colOff>0</xdr:colOff>
      <xdr:row>41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038916C-50D1-4754-B97F-45E34F422A08}"/>
                </a:ext>
                <a:ext uri="{147F2762-F138-4A5C-976F-8EAC2B608ADB}">
                  <a16:predDERef xmlns:a16="http://schemas.microsoft.com/office/drawing/2014/main" pred="{E278A95C-0DBC-4F02-8950-4A64EE4E904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01600" y="3933825"/>
              <a:ext cx="6096000" cy="375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0</xdr:colOff>
      <xdr:row>41</xdr:row>
      <xdr:rowOff>133350</xdr:rowOff>
    </xdr:from>
    <xdr:to>
      <xdr:col>31</xdr:col>
      <xdr:colOff>0</xdr:colOff>
      <xdr:row>62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5077D115-4C66-48DE-A4A3-37818B97C9C8}"/>
                </a:ext>
                <a:ext uri="{147F2762-F138-4A5C-976F-8EAC2B608ADB}">
                  <a16:predDERef xmlns:a16="http://schemas.microsoft.com/office/drawing/2014/main" pred="{D038916C-50D1-4754-B97F-45E34F422A0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01600" y="7683500"/>
              <a:ext cx="6096000" cy="3857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0</xdr:colOff>
      <xdr:row>0</xdr:row>
      <xdr:rowOff>123825</xdr:rowOff>
    </xdr:from>
    <xdr:to>
      <xdr:col>31</xdr:col>
      <xdr:colOff>0</xdr:colOff>
      <xdr:row>21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8B016FCD-950F-4350-BEC9-CD992DC901BE}"/>
                </a:ext>
                <a:ext uri="{147F2762-F138-4A5C-976F-8EAC2B608ADB}">
                  <a16:predDERef xmlns:a16="http://schemas.microsoft.com/office/drawing/2014/main" pred="{5077D115-4C66-48DE-A4A3-37818B97C9C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01600" y="123825"/>
              <a:ext cx="6096000" cy="381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30</xdr:col>
      <xdr:colOff>600075</xdr:colOff>
      <xdr:row>0</xdr:row>
      <xdr:rowOff>133350</xdr:rowOff>
    </xdr:from>
    <xdr:to>
      <xdr:col>41</xdr:col>
      <xdr:colOff>0</xdr:colOff>
      <xdr:row>21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03246159-52B5-4954-917F-B2DE5E43EFFE}"/>
                </a:ext>
                <a:ext uri="{147F2762-F138-4A5C-976F-8EAC2B608ADB}">
                  <a16:predDERef xmlns:a16="http://schemas.microsoft.com/office/drawing/2014/main" pred="{8B016FCD-950F-4350-BEC9-CD992DC901B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88075" y="133350"/>
              <a:ext cx="6105525" cy="3800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30</xdr:col>
      <xdr:colOff>600075</xdr:colOff>
      <xdr:row>21</xdr:row>
      <xdr:rowOff>66675</xdr:rowOff>
    </xdr:from>
    <xdr:to>
      <xdr:col>41</xdr:col>
      <xdr:colOff>0</xdr:colOff>
      <xdr:row>41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10AB6DA2-EB8B-4E5C-AAEE-95AFADD6FF3D}"/>
                </a:ext>
                <a:ext uri="{147F2762-F138-4A5C-976F-8EAC2B608ADB}">
                  <a16:predDERef xmlns:a16="http://schemas.microsoft.com/office/drawing/2014/main" pred="{03246159-52B5-4954-917F-B2DE5E43EFF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88075" y="3933825"/>
              <a:ext cx="6105525" cy="3768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teligenciafinanceira.com.br/planejamento-financeiro/?i=0,046236360273719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showGridLines="0" tabSelected="1" zoomScale="73" zoomScaleNormal="73" workbookViewId="0">
      <pane xSplit="4" ySplit="2" topLeftCell="F3" activePane="bottomRight" state="frozen"/>
      <selection pane="topRight"/>
      <selection pane="bottomLeft"/>
      <selection pane="bottomRight" activeCell="O71" sqref="O71"/>
    </sheetView>
  </sheetViews>
  <sheetFormatPr defaultColWidth="8.81640625" defaultRowHeight="14.5" x14ac:dyDescent="0.35"/>
  <cols>
    <col min="1" max="1" width="9.81640625" customWidth="1"/>
    <col min="2" max="2" width="2.453125" customWidth="1"/>
    <col min="3" max="3" width="24.81640625" style="7" customWidth="1"/>
    <col min="4" max="4" width="16" customWidth="1"/>
    <col min="5" max="5" width="14.453125" bestFit="1" customWidth="1"/>
    <col min="6" max="6" width="15.1796875" bestFit="1" customWidth="1"/>
    <col min="7" max="7" width="17.54296875" bestFit="1" customWidth="1"/>
    <col min="8" max="8" width="17.1796875" bestFit="1" customWidth="1"/>
    <col min="9" max="9" width="17.54296875" bestFit="1" customWidth="1"/>
    <col min="10" max="10" width="16.7265625" bestFit="1" customWidth="1"/>
    <col min="11" max="11" width="17.1796875" bestFit="1" customWidth="1"/>
    <col min="12" max="12" width="17.54296875" bestFit="1" customWidth="1"/>
    <col min="13" max="14" width="17.1796875" bestFit="1" customWidth="1"/>
    <col min="15" max="15" width="16.7265625" bestFit="1" customWidth="1"/>
    <col min="16" max="16" width="16" style="4" bestFit="1" customWidth="1"/>
  </cols>
  <sheetData>
    <row r="1" spans="1:16" ht="30" customHeight="1" x14ac:dyDescent="0.35">
      <c r="A1" s="84" t="s">
        <v>0</v>
      </c>
      <c r="B1" s="84"/>
      <c r="C1" s="84"/>
      <c r="D1" s="84"/>
      <c r="E1" s="82" t="s">
        <v>1</v>
      </c>
      <c r="F1" s="83" t="s">
        <v>2</v>
      </c>
      <c r="G1" s="82" t="s">
        <v>3</v>
      </c>
      <c r="H1" s="83" t="s">
        <v>4</v>
      </c>
      <c r="I1" s="82" t="s">
        <v>5</v>
      </c>
      <c r="J1" s="83" t="s">
        <v>6</v>
      </c>
      <c r="K1" s="82" t="s">
        <v>7</v>
      </c>
      <c r="L1" s="83" t="s">
        <v>8</v>
      </c>
      <c r="M1" s="82" t="s">
        <v>9</v>
      </c>
      <c r="N1" s="83" t="s">
        <v>10</v>
      </c>
      <c r="O1" s="82" t="s">
        <v>11</v>
      </c>
      <c r="P1" s="101" t="s">
        <v>12</v>
      </c>
    </row>
    <row r="2" spans="1:16" ht="30" customHeight="1" x14ac:dyDescent="0.35">
      <c r="A2" s="84"/>
      <c r="B2" s="84"/>
      <c r="C2" s="84"/>
      <c r="D2" s="84"/>
      <c r="E2" s="82"/>
      <c r="F2" s="83"/>
      <c r="G2" s="82"/>
      <c r="H2" s="83"/>
      <c r="I2" s="82"/>
      <c r="J2" s="83"/>
      <c r="K2" s="82"/>
      <c r="L2" s="83"/>
      <c r="M2" s="82"/>
      <c r="N2" s="83"/>
      <c r="O2" s="82"/>
      <c r="P2" s="101"/>
    </row>
    <row r="3" spans="1:16" ht="16" customHeight="1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16" ht="30" customHeight="1" x14ac:dyDescent="0.35">
      <c r="A4" s="71" t="s">
        <v>13</v>
      </c>
      <c r="B4" s="71"/>
      <c r="C4" s="71"/>
      <c r="D4" s="71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6" ht="10" customHeight="1" x14ac:dyDescent="0.35">
      <c r="A5" s="10"/>
      <c r="B5" s="10"/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20.149999999999999" customHeight="1" x14ac:dyDescent="0.35">
      <c r="A6" s="69" t="s">
        <v>14</v>
      </c>
      <c r="B6" s="12"/>
      <c r="C6" s="79" t="s">
        <v>15</v>
      </c>
      <c r="D6" s="79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6" ht="22" customHeight="1" x14ac:dyDescent="0.35">
      <c r="A7" s="69"/>
      <c r="B7" s="12"/>
      <c r="C7" s="66" t="s">
        <v>16</v>
      </c>
      <c r="D7" s="66"/>
      <c r="E7" s="58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62">
        <f>SUM(E7:O7)</f>
        <v>0</v>
      </c>
    </row>
    <row r="8" spans="1:16" ht="22" customHeight="1" x14ac:dyDescent="0.35">
      <c r="A8" s="69"/>
      <c r="B8" s="12"/>
      <c r="C8" s="67" t="s">
        <v>17</v>
      </c>
      <c r="D8" s="67"/>
      <c r="E8" s="14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62">
        <f t="shared" ref="P8:P14" si="0">SUM(E8:O8)</f>
        <v>0</v>
      </c>
    </row>
    <row r="9" spans="1:16" ht="22" customHeight="1" x14ac:dyDescent="0.35">
      <c r="A9" s="69"/>
      <c r="B9" s="12"/>
      <c r="C9" s="66" t="s">
        <v>18</v>
      </c>
      <c r="D9" s="66"/>
      <c r="E9" s="13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62">
        <f t="shared" si="0"/>
        <v>0</v>
      </c>
    </row>
    <row r="10" spans="1:16" ht="22" customHeight="1" x14ac:dyDescent="0.35">
      <c r="A10" s="69"/>
      <c r="B10" s="12"/>
      <c r="C10" s="67" t="s">
        <v>19</v>
      </c>
      <c r="D10" s="67"/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62">
        <f t="shared" si="0"/>
        <v>0</v>
      </c>
    </row>
    <row r="11" spans="1:16" ht="22" customHeight="1" x14ac:dyDescent="0.35">
      <c r="A11" s="69"/>
      <c r="B11" s="12"/>
      <c r="C11" s="66" t="s">
        <v>20</v>
      </c>
      <c r="D11" s="66"/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62">
        <f t="shared" si="0"/>
        <v>0</v>
      </c>
    </row>
    <row r="12" spans="1:16" ht="22" customHeight="1" x14ac:dyDescent="0.35">
      <c r="A12" s="69"/>
      <c r="B12" s="12"/>
      <c r="C12" s="67" t="s">
        <v>21</v>
      </c>
      <c r="D12" s="67"/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62">
        <f>SUM(E12:O12)</f>
        <v>0</v>
      </c>
    </row>
    <row r="13" spans="1:16" ht="22" customHeight="1" x14ac:dyDescent="0.35">
      <c r="A13" s="70"/>
      <c r="B13" s="12"/>
      <c r="C13" s="66" t="s">
        <v>22</v>
      </c>
      <c r="D13" s="66"/>
      <c r="E13" s="13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62">
        <f t="shared" si="0"/>
        <v>0</v>
      </c>
    </row>
    <row r="14" spans="1:16" ht="28" customHeight="1" x14ac:dyDescent="0.35">
      <c r="A14" s="8"/>
      <c r="B14" s="1"/>
      <c r="C14" s="68" t="s">
        <v>23</v>
      </c>
      <c r="D14" s="68"/>
      <c r="E14" s="15">
        <f t="shared" ref="E14:O14" si="1">SUM(E7:E13)</f>
        <v>0</v>
      </c>
      <c r="F14" s="21">
        <f t="shared" si="1"/>
        <v>0</v>
      </c>
      <c r="G14" s="21">
        <f t="shared" si="1"/>
        <v>0</v>
      </c>
      <c r="H14" s="21">
        <f t="shared" si="1"/>
        <v>0</v>
      </c>
      <c r="I14" s="21">
        <f t="shared" si="1"/>
        <v>0</v>
      </c>
      <c r="J14" s="21">
        <f t="shared" si="1"/>
        <v>0</v>
      </c>
      <c r="K14" s="21">
        <f t="shared" si="1"/>
        <v>0</v>
      </c>
      <c r="L14" s="21">
        <f t="shared" si="1"/>
        <v>0</v>
      </c>
      <c r="M14" s="21">
        <f t="shared" si="1"/>
        <v>0</v>
      </c>
      <c r="N14" s="21">
        <f t="shared" si="1"/>
        <v>0</v>
      </c>
      <c r="O14" s="21">
        <f t="shared" si="1"/>
        <v>0</v>
      </c>
      <c r="P14" s="62">
        <f t="shared" si="0"/>
        <v>0</v>
      </c>
    </row>
    <row r="15" spans="1:16" ht="16" customHeight="1" x14ac:dyDescent="0.3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</row>
    <row r="16" spans="1:16" ht="22" customHeight="1" x14ac:dyDescent="0.35">
      <c r="A16" s="75" t="s">
        <v>24</v>
      </c>
      <c r="B16" s="1"/>
      <c r="C16" s="79" t="s">
        <v>15</v>
      </c>
      <c r="D16" s="7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6" ht="22" customHeight="1" x14ac:dyDescent="0.35">
      <c r="A17" s="76"/>
      <c r="B17" s="72"/>
      <c r="C17" s="77" t="s">
        <v>25</v>
      </c>
      <c r="D17" s="77"/>
      <c r="E17" s="11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114">
        <v>0</v>
      </c>
      <c r="P17" s="62">
        <f t="shared" ref="P17:P21" si="2">SUM(E17:O17)</f>
        <v>0</v>
      </c>
    </row>
    <row r="18" spans="1:16" ht="22" customHeight="1" x14ac:dyDescent="0.35">
      <c r="A18" s="76"/>
      <c r="B18" s="72"/>
      <c r="C18" s="78" t="s">
        <v>26</v>
      </c>
      <c r="D18" s="78"/>
      <c r="E18" s="11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115">
        <v>0</v>
      </c>
      <c r="P18" s="62">
        <f t="shared" si="2"/>
        <v>0</v>
      </c>
    </row>
    <row r="19" spans="1:16" ht="22" customHeight="1" x14ac:dyDescent="0.35">
      <c r="A19" s="76"/>
      <c r="B19" s="72"/>
      <c r="C19" s="77" t="s">
        <v>27</v>
      </c>
      <c r="D19" s="77"/>
      <c r="E19" s="11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0</v>
      </c>
      <c r="M19" s="41">
        <v>0</v>
      </c>
      <c r="N19" s="41">
        <v>0</v>
      </c>
      <c r="O19" s="114">
        <v>0</v>
      </c>
      <c r="P19" s="62">
        <f t="shared" si="2"/>
        <v>0</v>
      </c>
    </row>
    <row r="20" spans="1:16" ht="22" customHeight="1" x14ac:dyDescent="0.35">
      <c r="A20" s="76"/>
      <c r="B20" s="72"/>
      <c r="C20" s="78" t="s">
        <v>28</v>
      </c>
      <c r="D20" s="78"/>
      <c r="E20" s="11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115">
        <v>0</v>
      </c>
      <c r="P20" s="62">
        <f t="shared" si="2"/>
        <v>0</v>
      </c>
    </row>
    <row r="21" spans="1:16" ht="28" customHeight="1" x14ac:dyDescent="0.35">
      <c r="A21" s="1"/>
      <c r="B21" s="72"/>
      <c r="C21" s="73" t="s">
        <v>29</v>
      </c>
      <c r="D21" s="73"/>
      <c r="E21" s="113">
        <f>SUM(E17:E20)</f>
        <v>0</v>
      </c>
      <c r="F21" s="43">
        <f t="shared" ref="F21:O21" si="3">SUM(F17:F20)</f>
        <v>0</v>
      </c>
      <c r="G21" s="43">
        <f t="shared" si="3"/>
        <v>0</v>
      </c>
      <c r="H21" s="43">
        <f t="shared" si="3"/>
        <v>0</v>
      </c>
      <c r="I21" s="43">
        <f t="shared" si="3"/>
        <v>0</v>
      </c>
      <c r="J21" s="43">
        <f t="shared" si="3"/>
        <v>0</v>
      </c>
      <c r="K21" s="43">
        <f t="shared" si="3"/>
        <v>0</v>
      </c>
      <c r="L21" s="43">
        <f t="shared" si="3"/>
        <v>0</v>
      </c>
      <c r="M21" s="43">
        <f t="shared" si="3"/>
        <v>0</v>
      </c>
      <c r="N21" s="43">
        <f t="shared" si="3"/>
        <v>0</v>
      </c>
      <c r="O21" s="110">
        <f t="shared" si="3"/>
        <v>0</v>
      </c>
      <c r="P21" s="62">
        <f t="shared" si="2"/>
        <v>0</v>
      </c>
    </row>
    <row r="22" spans="1:16" ht="16" customHeight="1" x14ac:dyDescent="0.3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</row>
    <row r="23" spans="1:16" ht="30" customHeight="1" x14ac:dyDescent="0.35">
      <c r="A23" s="71" t="s">
        <v>30</v>
      </c>
      <c r="B23" s="71"/>
      <c r="C23" s="71"/>
      <c r="D23" s="71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</row>
    <row r="24" spans="1:16" s="87" customFormat="1" ht="10" customHeight="1" x14ac:dyDescent="0.35"/>
    <row r="25" spans="1:16" s="16" customFormat="1" ht="22" customHeight="1" x14ac:dyDescent="0.35">
      <c r="A25" s="88" t="s">
        <v>31</v>
      </c>
      <c r="C25" s="79" t="s">
        <v>15</v>
      </c>
      <c r="D25" s="79"/>
    </row>
    <row r="26" spans="1:16" ht="22" customHeight="1" x14ac:dyDescent="0.35">
      <c r="A26" s="88"/>
      <c r="B26" s="17"/>
      <c r="C26" s="85" t="s">
        <v>32</v>
      </c>
      <c r="D26" s="85"/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62">
        <f t="shared" ref="P26:P39" si="4">SUM(E26:O26)</f>
        <v>0</v>
      </c>
    </row>
    <row r="27" spans="1:16" ht="22" customHeight="1" x14ac:dyDescent="0.35">
      <c r="A27" s="88"/>
      <c r="B27" s="17"/>
      <c r="C27" s="81" t="s">
        <v>33</v>
      </c>
      <c r="D27" s="81"/>
      <c r="E27" s="60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2">
        <f t="shared" si="4"/>
        <v>0</v>
      </c>
    </row>
    <row r="28" spans="1:16" ht="22" customHeight="1" x14ac:dyDescent="0.35">
      <c r="A28" s="88"/>
      <c r="B28" s="17"/>
      <c r="C28" s="85" t="s">
        <v>34</v>
      </c>
      <c r="D28" s="85"/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62">
        <f t="shared" si="4"/>
        <v>0</v>
      </c>
    </row>
    <row r="29" spans="1:16" ht="22" customHeight="1" x14ac:dyDescent="0.35">
      <c r="A29" s="88"/>
      <c r="B29" s="17"/>
      <c r="C29" s="81" t="s">
        <v>35</v>
      </c>
      <c r="D29" s="81"/>
      <c r="E29" s="60">
        <v>0</v>
      </c>
      <c r="F29" s="60">
        <v>0</v>
      </c>
      <c r="G29" s="60">
        <v>0</v>
      </c>
      <c r="H29" s="60">
        <v>0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2">
        <f t="shared" si="4"/>
        <v>0</v>
      </c>
    </row>
    <row r="30" spans="1:16" ht="22" customHeight="1" x14ac:dyDescent="0.35">
      <c r="A30" s="88"/>
      <c r="B30" s="17"/>
      <c r="C30" s="85" t="s">
        <v>36</v>
      </c>
      <c r="D30" s="85"/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62">
        <f t="shared" si="4"/>
        <v>0</v>
      </c>
    </row>
    <row r="31" spans="1:16" ht="22" customHeight="1" x14ac:dyDescent="0.35">
      <c r="A31" s="88"/>
      <c r="B31" s="80" t="s">
        <v>37</v>
      </c>
      <c r="C31" s="81" t="s">
        <v>38</v>
      </c>
      <c r="D31" s="81"/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2">
        <f t="shared" si="4"/>
        <v>0</v>
      </c>
    </row>
    <row r="32" spans="1:16" ht="22" customHeight="1" x14ac:dyDescent="0.35">
      <c r="A32" s="88"/>
      <c r="B32" s="80"/>
      <c r="C32" s="85" t="s">
        <v>39</v>
      </c>
      <c r="D32" s="85"/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62">
        <f t="shared" si="4"/>
        <v>0</v>
      </c>
    </row>
    <row r="33" spans="1:16" ht="22" customHeight="1" x14ac:dyDescent="0.35">
      <c r="A33" s="88"/>
      <c r="B33" s="80"/>
      <c r="C33" s="81" t="s">
        <v>40</v>
      </c>
      <c r="D33" s="81"/>
      <c r="E33" s="60">
        <v>0</v>
      </c>
      <c r="F33" s="60">
        <v>0</v>
      </c>
      <c r="G33" s="60">
        <v>0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</v>
      </c>
      <c r="O33" s="60">
        <v>0</v>
      </c>
      <c r="P33" s="62">
        <f t="shared" si="4"/>
        <v>0</v>
      </c>
    </row>
    <row r="34" spans="1:16" ht="22" customHeight="1" x14ac:dyDescent="0.35">
      <c r="A34" s="88"/>
      <c r="B34" s="80"/>
      <c r="C34" s="85" t="s">
        <v>41</v>
      </c>
      <c r="D34" s="85"/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62">
        <f t="shared" si="4"/>
        <v>0</v>
      </c>
    </row>
    <row r="35" spans="1:16" ht="22" customHeight="1" x14ac:dyDescent="0.35">
      <c r="A35" s="88"/>
      <c r="B35" s="80"/>
      <c r="C35" s="81" t="s">
        <v>42</v>
      </c>
      <c r="D35" s="81"/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2">
        <f t="shared" si="4"/>
        <v>0</v>
      </c>
    </row>
    <row r="36" spans="1:16" ht="22" customHeight="1" x14ac:dyDescent="0.35">
      <c r="A36" s="88"/>
      <c r="B36" s="80"/>
      <c r="C36" s="85" t="s">
        <v>43</v>
      </c>
      <c r="D36" s="85"/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62">
        <f t="shared" si="4"/>
        <v>0</v>
      </c>
    </row>
    <row r="37" spans="1:16" ht="22" customHeight="1" x14ac:dyDescent="0.35">
      <c r="A37" s="88"/>
      <c r="B37" s="80"/>
      <c r="C37" s="81" t="s">
        <v>44</v>
      </c>
      <c r="D37" s="81"/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2">
        <f t="shared" si="4"/>
        <v>0</v>
      </c>
    </row>
    <row r="38" spans="1:16" ht="22" customHeight="1" x14ac:dyDescent="0.35">
      <c r="A38" s="89"/>
      <c r="B38" s="25"/>
      <c r="C38" s="85" t="s">
        <v>22</v>
      </c>
      <c r="D38" s="85"/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62">
        <f t="shared" si="4"/>
        <v>0</v>
      </c>
    </row>
    <row r="39" spans="1:16" s="24" customFormat="1" ht="28" customHeight="1" x14ac:dyDescent="0.35">
      <c r="A39" s="22"/>
      <c r="B39" s="22"/>
      <c r="C39" s="86" t="s">
        <v>45</v>
      </c>
      <c r="D39" s="86"/>
      <c r="E39" s="23">
        <f t="shared" ref="E39:O39" si="5">SUM(E26:E38)</f>
        <v>0</v>
      </c>
      <c r="F39" s="54">
        <f t="shared" si="5"/>
        <v>0</v>
      </c>
      <c r="G39" s="54">
        <f t="shared" si="5"/>
        <v>0</v>
      </c>
      <c r="H39" s="54">
        <f t="shared" si="5"/>
        <v>0</v>
      </c>
      <c r="I39" s="54">
        <f t="shared" si="5"/>
        <v>0</v>
      </c>
      <c r="J39" s="54">
        <f t="shared" si="5"/>
        <v>0</v>
      </c>
      <c r="K39" s="54">
        <f t="shared" si="5"/>
        <v>0</v>
      </c>
      <c r="L39" s="54">
        <f t="shared" si="5"/>
        <v>0</v>
      </c>
      <c r="M39" s="54">
        <f t="shared" si="5"/>
        <v>0</v>
      </c>
      <c r="N39" s="54">
        <f t="shared" si="5"/>
        <v>0</v>
      </c>
      <c r="O39" s="54">
        <f t="shared" si="5"/>
        <v>0</v>
      </c>
      <c r="P39" s="62">
        <f t="shared" si="4"/>
        <v>0</v>
      </c>
    </row>
    <row r="40" spans="1:16" ht="16" customHeight="1" x14ac:dyDescent="0.3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</row>
    <row r="41" spans="1:16" s="16" customFormat="1" ht="22" customHeight="1" x14ac:dyDescent="0.35">
      <c r="A41" s="94" t="s">
        <v>46</v>
      </c>
      <c r="C41" s="79" t="s">
        <v>15</v>
      </c>
      <c r="D41" s="79"/>
    </row>
    <row r="42" spans="1:16" ht="22" customHeight="1" x14ac:dyDescent="0.35">
      <c r="A42" s="94"/>
      <c r="B42" s="17"/>
      <c r="C42" s="95" t="s">
        <v>47</v>
      </c>
      <c r="D42" s="95"/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62">
        <f t="shared" ref="P42:P50" si="6">SUM(E42:O42)</f>
        <v>0</v>
      </c>
    </row>
    <row r="43" spans="1:16" ht="22" customHeight="1" x14ac:dyDescent="0.35">
      <c r="A43" s="94"/>
      <c r="B43" s="17"/>
      <c r="C43" s="96" t="s">
        <v>48</v>
      </c>
      <c r="D43" s="96"/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62">
        <f t="shared" si="6"/>
        <v>0</v>
      </c>
    </row>
    <row r="44" spans="1:16" ht="22" customHeight="1" x14ac:dyDescent="0.35">
      <c r="A44" s="94"/>
      <c r="B44" s="17"/>
      <c r="C44" s="95" t="s">
        <v>49</v>
      </c>
      <c r="D44" s="95"/>
      <c r="E44" s="29">
        <v>0</v>
      </c>
      <c r="F44" s="29">
        <v>0</v>
      </c>
      <c r="G44" s="29">
        <v>0</v>
      </c>
      <c r="H44" s="29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62">
        <f t="shared" si="6"/>
        <v>0</v>
      </c>
    </row>
    <row r="45" spans="1:16" ht="22" customHeight="1" x14ac:dyDescent="0.35">
      <c r="A45" s="94"/>
      <c r="B45" s="80" t="s">
        <v>37</v>
      </c>
      <c r="C45" s="96" t="s">
        <v>50</v>
      </c>
      <c r="D45" s="96"/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62">
        <f t="shared" si="6"/>
        <v>0</v>
      </c>
    </row>
    <row r="46" spans="1:16" ht="22" customHeight="1" x14ac:dyDescent="0.35">
      <c r="A46" s="94"/>
      <c r="B46" s="80"/>
      <c r="C46" s="95" t="s">
        <v>51</v>
      </c>
      <c r="D46" s="95"/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62">
        <f t="shared" si="6"/>
        <v>0</v>
      </c>
    </row>
    <row r="47" spans="1:16" ht="22" customHeight="1" x14ac:dyDescent="0.35">
      <c r="A47" s="94"/>
      <c r="B47" s="80"/>
      <c r="C47" s="96" t="s">
        <v>52</v>
      </c>
      <c r="D47" s="96"/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62">
        <f t="shared" si="6"/>
        <v>0</v>
      </c>
    </row>
    <row r="48" spans="1:16" ht="22" customHeight="1" x14ac:dyDescent="0.35">
      <c r="A48" s="94"/>
      <c r="B48" s="80"/>
      <c r="C48" s="95" t="s">
        <v>53</v>
      </c>
      <c r="D48" s="95"/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62">
        <f t="shared" si="6"/>
        <v>0</v>
      </c>
    </row>
    <row r="49" spans="1:16" ht="22" customHeight="1" x14ac:dyDescent="0.35">
      <c r="A49" s="94"/>
      <c r="B49" s="25"/>
      <c r="C49" s="96" t="s">
        <v>22</v>
      </c>
      <c r="D49" s="96"/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62">
        <f t="shared" si="6"/>
        <v>0</v>
      </c>
    </row>
    <row r="50" spans="1:16" s="28" customFormat="1" ht="28" customHeight="1" x14ac:dyDescent="0.35">
      <c r="A50" s="26"/>
      <c r="B50" s="26"/>
      <c r="C50" s="91" t="s">
        <v>54</v>
      </c>
      <c r="D50" s="91"/>
      <c r="E50" s="27">
        <f t="shared" ref="E50:O50" si="7">SUM(E42:E49)</f>
        <v>0</v>
      </c>
      <c r="F50" s="52">
        <f t="shared" si="7"/>
        <v>0</v>
      </c>
      <c r="G50" s="52">
        <f t="shared" si="7"/>
        <v>0</v>
      </c>
      <c r="H50" s="52">
        <f t="shared" si="7"/>
        <v>0</v>
      </c>
      <c r="I50" s="52">
        <f t="shared" si="7"/>
        <v>0</v>
      </c>
      <c r="J50" s="52">
        <f t="shared" si="7"/>
        <v>0</v>
      </c>
      <c r="K50" s="52">
        <f t="shared" si="7"/>
        <v>0</v>
      </c>
      <c r="L50" s="52">
        <f t="shared" si="7"/>
        <v>0</v>
      </c>
      <c r="M50" s="52">
        <f t="shared" si="7"/>
        <v>0</v>
      </c>
      <c r="N50" s="52">
        <f t="shared" si="7"/>
        <v>0</v>
      </c>
      <c r="O50" s="52">
        <f t="shared" si="7"/>
        <v>0</v>
      </c>
      <c r="P50" s="62">
        <f t="shared" si="6"/>
        <v>0</v>
      </c>
    </row>
    <row r="51" spans="1:16" ht="16" customHeight="1" x14ac:dyDescent="0.35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</row>
    <row r="52" spans="1:16" ht="22" customHeight="1" x14ac:dyDescent="0.35">
      <c r="A52" s="92" t="s">
        <v>55</v>
      </c>
      <c r="B52" s="16"/>
      <c r="C52" s="79" t="s">
        <v>15</v>
      </c>
      <c r="D52" s="7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1:16" ht="22" customHeight="1" x14ac:dyDescent="0.35">
      <c r="A53" s="92"/>
      <c r="B53" s="17"/>
      <c r="C53" s="93" t="s">
        <v>56</v>
      </c>
      <c r="D53" s="93"/>
      <c r="E53" s="48">
        <v>0</v>
      </c>
      <c r="F53" s="48">
        <v>0</v>
      </c>
      <c r="G53" s="48">
        <v>0</v>
      </c>
      <c r="H53" s="48">
        <v>0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48">
        <v>0</v>
      </c>
      <c r="P53" s="62">
        <f t="shared" ref="P53:P58" si="8">SUM(E53:O53)</f>
        <v>0</v>
      </c>
    </row>
    <row r="54" spans="1:16" ht="22" customHeight="1" x14ac:dyDescent="0.35">
      <c r="A54" s="92"/>
      <c r="B54" s="17"/>
      <c r="C54" s="90" t="s">
        <v>57</v>
      </c>
      <c r="D54" s="90"/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62">
        <f t="shared" si="8"/>
        <v>0</v>
      </c>
    </row>
    <row r="55" spans="1:16" ht="22" customHeight="1" x14ac:dyDescent="0.35">
      <c r="A55" s="92"/>
      <c r="B55" s="98"/>
      <c r="C55" s="93" t="s">
        <v>58</v>
      </c>
      <c r="D55" s="93"/>
      <c r="E55" s="48">
        <v>0</v>
      </c>
      <c r="F55" s="48">
        <v>0</v>
      </c>
      <c r="G55" s="48">
        <v>0</v>
      </c>
      <c r="H55" s="48">
        <v>0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62">
        <f t="shared" si="8"/>
        <v>0</v>
      </c>
    </row>
    <row r="56" spans="1:16" ht="22" customHeight="1" x14ac:dyDescent="0.35">
      <c r="A56" s="92"/>
      <c r="B56" s="98"/>
      <c r="C56" s="90" t="s">
        <v>59</v>
      </c>
      <c r="D56" s="90"/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62">
        <f t="shared" si="8"/>
        <v>0</v>
      </c>
    </row>
    <row r="57" spans="1:16" ht="22" customHeight="1" x14ac:dyDescent="0.35">
      <c r="A57" s="92"/>
      <c r="B57" s="98"/>
      <c r="C57" s="93" t="s">
        <v>22</v>
      </c>
      <c r="D57" s="93"/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0</v>
      </c>
      <c r="N57" s="48">
        <v>0</v>
      </c>
      <c r="O57" s="48">
        <v>0</v>
      </c>
      <c r="P57" s="62">
        <f t="shared" si="8"/>
        <v>0</v>
      </c>
    </row>
    <row r="58" spans="1:16" ht="28" customHeight="1" x14ac:dyDescent="0.35">
      <c r="A58" s="26"/>
      <c r="B58" s="26"/>
      <c r="C58" s="97" t="s">
        <v>60</v>
      </c>
      <c r="D58" s="97"/>
      <c r="E58" s="31">
        <f t="shared" ref="E58:O58" si="9">SUM(E53:E57)</f>
        <v>0</v>
      </c>
      <c r="F58" s="53">
        <f t="shared" si="9"/>
        <v>0</v>
      </c>
      <c r="G58" s="53">
        <f t="shared" si="9"/>
        <v>0</v>
      </c>
      <c r="H58" s="53">
        <f t="shared" si="9"/>
        <v>0</v>
      </c>
      <c r="I58" s="53">
        <f t="shared" si="9"/>
        <v>0</v>
      </c>
      <c r="J58" s="53">
        <f t="shared" si="9"/>
        <v>0</v>
      </c>
      <c r="K58" s="53">
        <f t="shared" si="9"/>
        <v>0</v>
      </c>
      <c r="L58" s="53">
        <f t="shared" si="9"/>
        <v>0</v>
      </c>
      <c r="M58" s="53">
        <f t="shared" si="9"/>
        <v>0</v>
      </c>
      <c r="N58" s="53">
        <f t="shared" si="9"/>
        <v>0</v>
      </c>
      <c r="O58" s="53">
        <f t="shared" si="9"/>
        <v>0</v>
      </c>
      <c r="P58" s="62">
        <f t="shared" si="8"/>
        <v>0</v>
      </c>
    </row>
    <row r="59" spans="1:16" ht="16" customHeight="1" x14ac:dyDescent="0.35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</row>
    <row r="60" spans="1:16" ht="22" customHeight="1" x14ac:dyDescent="0.35">
      <c r="A60" s="88" t="s">
        <v>61</v>
      </c>
      <c r="B60" s="16"/>
      <c r="C60" s="79" t="s">
        <v>15</v>
      </c>
      <c r="D60" s="7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1:16" ht="22" customHeight="1" x14ac:dyDescent="0.35">
      <c r="A61" s="88"/>
      <c r="B61" s="17"/>
      <c r="C61" s="81" t="s">
        <v>62</v>
      </c>
      <c r="D61" s="81"/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62">
        <f t="shared" ref="P61:P66" si="10">SUM(E61:O61)</f>
        <v>0</v>
      </c>
    </row>
    <row r="62" spans="1:16" ht="22" customHeight="1" x14ac:dyDescent="0.35">
      <c r="A62" s="88"/>
      <c r="B62" s="17"/>
      <c r="C62" s="85" t="s">
        <v>63</v>
      </c>
      <c r="D62" s="85"/>
      <c r="E62" s="44">
        <v>0</v>
      </c>
      <c r="F62" s="44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62">
        <f t="shared" si="10"/>
        <v>0</v>
      </c>
    </row>
    <row r="63" spans="1:16" ht="22" customHeight="1" x14ac:dyDescent="0.35">
      <c r="A63" s="88"/>
      <c r="B63" s="80" t="s">
        <v>64</v>
      </c>
      <c r="C63" s="81" t="s">
        <v>65</v>
      </c>
      <c r="D63" s="81"/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62">
        <f t="shared" si="10"/>
        <v>0</v>
      </c>
    </row>
    <row r="64" spans="1:16" ht="22" customHeight="1" x14ac:dyDescent="0.35">
      <c r="A64" s="88"/>
      <c r="B64" s="80"/>
      <c r="C64" s="85" t="s">
        <v>66</v>
      </c>
      <c r="D64" s="85"/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62">
        <f t="shared" si="10"/>
        <v>0</v>
      </c>
    </row>
    <row r="65" spans="1:16" ht="22" customHeight="1" x14ac:dyDescent="0.35">
      <c r="A65" s="88"/>
      <c r="B65" s="80"/>
      <c r="C65" s="81" t="s">
        <v>22</v>
      </c>
      <c r="D65" s="81"/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62">
        <f t="shared" si="10"/>
        <v>0</v>
      </c>
    </row>
    <row r="66" spans="1:16" ht="28" customHeight="1" x14ac:dyDescent="0.35">
      <c r="A66" s="26"/>
      <c r="B66" s="26"/>
      <c r="C66" s="86" t="s">
        <v>67</v>
      </c>
      <c r="D66" s="86"/>
      <c r="E66" s="23">
        <f t="shared" ref="E66:O66" si="11">SUM(E61:E65)</f>
        <v>0</v>
      </c>
      <c r="F66" s="54">
        <f t="shared" si="11"/>
        <v>0</v>
      </c>
      <c r="G66" s="54">
        <f t="shared" si="11"/>
        <v>0</v>
      </c>
      <c r="H66" s="54">
        <f t="shared" si="11"/>
        <v>0</v>
      </c>
      <c r="I66" s="54">
        <f t="shared" si="11"/>
        <v>0</v>
      </c>
      <c r="J66" s="54">
        <f t="shared" si="11"/>
        <v>0</v>
      </c>
      <c r="K66" s="54">
        <f t="shared" si="11"/>
        <v>0</v>
      </c>
      <c r="L66" s="54">
        <f t="shared" si="11"/>
        <v>0</v>
      </c>
      <c r="M66" s="54">
        <f t="shared" si="11"/>
        <v>0</v>
      </c>
      <c r="N66" s="54">
        <f t="shared" si="11"/>
        <v>0</v>
      </c>
      <c r="O66" s="54">
        <f t="shared" si="11"/>
        <v>0</v>
      </c>
      <c r="P66" s="62">
        <f t="shared" si="10"/>
        <v>0</v>
      </c>
    </row>
    <row r="67" spans="1:16" ht="16" customHeight="1" x14ac:dyDescent="0.35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</row>
    <row r="68" spans="1:16" ht="22" customHeight="1" x14ac:dyDescent="0.35">
      <c r="A68" s="94" t="s">
        <v>68</v>
      </c>
      <c r="B68" s="16"/>
      <c r="C68" s="79" t="s">
        <v>15</v>
      </c>
      <c r="D68" s="7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1:16" ht="22" customHeight="1" x14ac:dyDescent="0.35">
      <c r="A69" s="94"/>
      <c r="B69" s="17"/>
      <c r="C69" s="96" t="s">
        <v>69</v>
      </c>
      <c r="D69" s="96"/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62">
        <f t="shared" ref="P69:P73" si="12">SUM(E69:O69)</f>
        <v>0</v>
      </c>
    </row>
    <row r="70" spans="1:16" ht="22" customHeight="1" x14ac:dyDescent="0.35">
      <c r="A70" s="94"/>
      <c r="B70" s="17"/>
      <c r="C70" s="95" t="s">
        <v>70</v>
      </c>
      <c r="D70" s="95"/>
      <c r="E70" s="46">
        <v>0</v>
      </c>
      <c r="F70" s="46">
        <v>0</v>
      </c>
      <c r="G70" s="46">
        <v>0</v>
      </c>
      <c r="H70" s="46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v>0</v>
      </c>
      <c r="O70" s="46">
        <v>0</v>
      </c>
      <c r="P70" s="62">
        <f t="shared" si="12"/>
        <v>0</v>
      </c>
    </row>
    <row r="71" spans="1:16" ht="22" customHeight="1" x14ac:dyDescent="0.35">
      <c r="A71" s="94"/>
      <c r="B71" s="34"/>
      <c r="C71" s="96" t="s">
        <v>71</v>
      </c>
      <c r="D71" s="96"/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62">
        <f t="shared" si="12"/>
        <v>0</v>
      </c>
    </row>
    <row r="72" spans="1:16" ht="22" customHeight="1" x14ac:dyDescent="0.35">
      <c r="A72" s="94"/>
      <c r="B72" s="34"/>
      <c r="C72" s="95" t="s">
        <v>22</v>
      </c>
      <c r="D72" s="95"/>
      <c r="E72" s="29">
        <v>0</v>
      </c>
      <c r="F72" s="29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v>0</v>
      </c>
      <c r="O72" s="46">
        <v>0</v>
      </c>
      <c r="P72" s="62">
        <f t="shared" si="12"/>
        <v>0</v>
      </c>
    </row>
    <row r="73" spans="1:16" s="28" customFormat="1" ht="28" customHeight="1" x14ac:dyDescent="0.35">
      <c r="A73" s="26"/>
      <c r="B73" s="26"/>
      <c r="C73" s="91" t="s">
        <v>72</v>
      </c>
      <c r="D73" s="91"/>
      <c r="E73" s="27">
        <f t="shared" ref="E73:O73" si="13">SUM(E69:E72)</f>
        <v>0</v>
      </c>
      <c r="F73" s="52">
        <f t="shared" si="13"/>
        <v>0</v>
      </c>
      <c r="G73" s="52">
        <f t="shared" si="13"/>
        <v>0</v>
      </c>
      <c r="H73" s="52">
        <f t="shared" si="13"/>
        <v>0</v>
      </c>
      <c r="I73" s="52">
        <f t="shared" si="13"/>
        <v>0</v>
      </c>
      <c r="J73" s="52">
        <f t="shared" si="13"/>
        <v>0</v>
      </c>
      <c r="K73" s="52">
        <f t="shared" si="13"/>
        <v>0</v>
      </c>
      <c r="L73" s="52">
        <f t="shared" si="13"/>
        <v>0</v>
      </c>
      <c r="M73" s="52">
        <f t="shared" si="13"/>
        <v>0</v>
      </c>
      <c r="N73" s="52">
        <f t="shared" si="13"/>
        <v>0</v>
      </c>
      <c r="O73" s="52">
        <f t="shared" si="13"/>
        <v>0</v>
      </c>
      <c r="P73" s="62">
        <f t="shared" si="12"/>
        <v>0</v>
      </c>
    </row>
    <row r="74" spans="1:16" ht="16" customHeight="1" x14ac:dyDescent="0.35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</row>
    <row r="75" spans="1:16" ht="22" customHeight="1" x14ac:dyDescent="0.35">
      <c r="A75" s="99" t="s">
        <v>73</v>
      </c>
      <c r="B75" s="16"/>
      <c r="C75" s="79" t="s">
        <v>15</v>
      </c>
      <c r="D75" s="7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1:16" ht="22" customHeight="1" x14ac:dyDescent="0.35">
      <c r="A76" s="99"/>
      <c r="B76" s="17"/>
      <c r="C76" s="93" t="s">
        <v>74</v>
      </c>
      <c r="D76" s="93"/>
      <c r="E76" s="32">
        <v>0</v>
      </c>
      <c r="F76" s="48">
        <v>0</v>
      </c>
      <c r="G76" s="48">
        <v>0</v>
      </c>
      <c r="H76" s="32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0</v>
      </c>
      <c r="P76" s="62">
        <f t="shared" ref="P76:P83" si="14">SUM(E76:O76)</f>
        <v>0</v>
      </c>
    </row>
    <row r="77" spans="1:16" ht="22" customHeight="1" x14ac:dyDescent="0.35">
      <c r="A77" s="99"/>
      <c r="B77" s="17"/>
      <c r="C77" s="90" t="s">
        <v>75</v>
      </c>
      <c r="D77" s="90"/>
      <c r="E77" s="49">
        <v>0</v>
      </c>
      <c r="F77" s="49">
        <v>0</v>
      </c>
      <c r="G77" s="49">
        <v>0</v>
      </c>
      <c r="H77" s="49">
        <v>0</v>
      </c>
      <c r="I77" s="49">
        <v>0</v>
      </c>
      <c r="J77" s="49">
        <v>0</v>
      </c>
      <c r="K77" s="49">
        <v>0</v>
      </c>
      <c r="L77" s="49">
        <v>0</v>
      </c>
      <c r="M77" s="49">
        <v>0</v>
      </c>
      <c r="N77" s="49">
        <v>0</v>
      </c>
      <c r="O77" s="49">
        <v>0</v>
      </c>
      <c r="P77" s="62">
        <f t="shared" si="14"/>
        <v>0</v>
      </c>
    </row>
    <row r="78" spans="1:16" ht="22" customHeight="1" x14ac:dyDescent="0.35">
      <c r="A78" s="99"/>
      <c r="B78" s="34"/>
      <c r="C78" s="93" t="s">
        <v>76</v>
      </c>
      <c r="D78" s="93"/>
      <c r="E78" s="32">
        <v>0</v>
      </c>
      <c r="F78" s="48">
        <v>0</v>
      </c>
      <c r="G78" s="48">
        <v>0</v>
      </c>
      <c r="H78" s="48">
        <v>0</v>
      </c>
      <c r="I78" s="48">
        <v>0</v>
      </c>
      <c r="J78" s="48">
        <v>0</v>
      </c>
      <c r="K78" s="48">
        <v>0</v>
      </c>
      <c r="L78" s="48">
        <v>0</v>
      </c>
      <c r="M78" s="48">
        <v>0</v>
      </c>
      <c r="N78" s="48">
        <v>0</v>
      </c>
      <c r="O78" s="48">
        <v>0</v>
      </c>
      <c r="P78" s="62">
        <f t="shared" si="14"/>
        <v>0</v>
      </c>
    </row>
    <row r="79" spans="1:16" ht="22" customHeight="1" x14ac:dyDescent="0.35">
      <c r="A79" s="99"/>
      <c r="B79" s="34"/>
      <c r="C79" s="90" t="s">
        <v>77</v>
      </c>
      <c r="D79" s="90"/>
      <c r="E79" s="33">
        <v>0</v>
      </c>
      <c r="F79" s="49">
        <v>0</v>
      </c>
      <c r="G79" s="49">
        <v>0</v>
      </c>
      <c r="H79" s="49">
        <v>0</v>
      </c>
      <c r="I79" s="49">
        <v>0</v>
      </c>
      <c r="J79" s="49">
        <v>0</v>
      </c>
      <c r="K79" s="49">
        <v>0</v>
      </c>
      <c r="L79" s="49">
        <v>0</v>
      </c>
      <c r="M79" s="49">
        <v>0</v>
      </c>
      <c r="N79" s="49">
        <v>0</v>
      </c>
      <c r="O79" s="49">
        <v>0</v>
      </c>
      <c r="P79" s="62">
        <f t="shared" si="14"/>
        <v>0</v>
      </c>
    </row>
    <row r="80" spans="1:16" ht="22" customHeight="1" x14ac:dyDescent="0.35">
      <c r="A80" s="99"/>
      <c r="B80" s="34"/>
      <c r="C80" s="93" t="s">
        <v>78</v>
      </c>
      <c r="D80" s="93"/>
      <c r="E80" s="32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8">
        <v>0</v>
      </c>
      <c r="L80" s="48">
        <v>0</v>
      </c>
      <c r="M80" s="48">
        <v>0</v>
      </c>
      <c r="N80" s="48">
        <v>0</v>
      </c>
      <c r="O80" s="48">
        <v>0</v>
      </c>
      <c r="P80" s="62">
        <f t="shared" si="14"/>
        <v>0</v>
      </c>
    </row>
    <row r="81" spans="1:16" ht="22" customHeight="1" x14ac:dyDescent="0.35">
      <c r="A81" s="99"/>
      <c r="B81" s="34"/>
      <c r="C81" s="90" t="s">
        <v>79</v>
      </c>
      <c r="D81" s="90"/>
      <c r="E81" s="33">
        <v>0</v>
      </c>
      <c r="F81" s="33">
        <v>0</v>
      </c>
      <c r="G81" s="49">
        <v>0</v>
      </c>
      <c r="H81" s="33">
        <v>0</v>
      </c>
      <c r="I81" s="49">
        <v>0</v>
      </c>
      <c r="J81" s="49">
        <v>0</v>
      </c>
      <c r="K81" s="33">
        <v>0</v>
      </c>
      <c r="L81" s="33">
        <v>0</v>
      </c>
      <c r="M81" s="33">
        <v>0</v>
      </c>
      <c r="N81" s="33">
        <v>0</v>
      </c>
      <c r="O81" s="49">
        <v>0</v>
      </c>
      <c r="P81" s="62">
        <f t="shared" si="14"/>
        <v>0</v>
      </c>
    </row>
    <row r="82" spans="1:16" ht="22" customHeight="1" x14ac:dyDescent="0.35">
      <c r="A82" s="99"/>
      <c r="B82" s="34"/>
      <c r="C82" s="93" t="s">
        <v>22</v>
      </c>
      <c r="D82" s="93"/>
      <c r="E82" s="32">
        <v>0</v>
      </c>
      <c r="F82" s="48">
        <v>0</v>
      </c>
      <c r="G82" s="48">
        <v>0</v>
      </c>
      <c r="H82" s="48">
        <v>0</v>
      </c>
      <c r="I82" s="48">
        <v>0</v>
      </c>
      <c r="J82" s="48">
        <v>0</v>
      </c>
      <c r="K82" s="48">
        <v>0</v>
      </c>
      <c r="L82" s="48">
        <v>0</v>
      </c>
      <c r="M82" s="48">
        <v>0</v>
      </c>
      <c r="N82" s="48">
        <v>0</v>
      </c>
      <c r="O82" s="48">
        <v>0</v>
      </c>
      <c r="P82" s="62">
        <f t="shared" si="14"/>
        <v>0</v>
      </c>
    </row>
    <row r="83" spans="1:16" ht="28" customHeight="1" x14ac:dyDescent="0.35">
      <c r="A83" s="26"/>
      <c r="B83" s="26"/>
      <c r="C83" s="97" t="s">
        <v>80</v>
      </c>
      <c r="D83" s="97"/>
      <c r="E83" s="31">
        <f t="shared" ref="E83:O83" si="15">SUM(E76:E82)</f>
        <v>0</v>
      </c>
      <c r="F83" s="53">
        <f t="shared" si="15"/>
        <v>0</v>
      </c>
      <c r="G83" s="53">
        <f t="shared" si="15"/>
        <v>0</v>
      </c>
      <c r="H83" s="53">
        <f t="shared" si="15"/>
        <v>0</v>
      </c>
      <c r="I83" s="53">
        <f t="shared" si="15"/>
        <v>0</v>
      </c>
      <c r="J83" s="53">
        <f t="shared" si="15"/>
        <v>0</v>
      </c>
      <c r="K83" s="53">
        <f t="shared" si="15"/>
        <v>0</v>
      </c>
      <c r="L83" s="53">
        <f t="shared" si="15"/>
        <v>0</v>
      </c>
      <c r="M83" s="53">
        <f t="shared" si="15"/>
        <v>0</v>
      </c>
      <c r="N83" s="53">
        <f t="shared" si="15"/>
        <v>0</v>
      </c>
      <c r="O83" s="53">
        <f t="shared" si="15"/>
        <v>0</v>
      </c>
      <c r="P83" s="62">
        <f t="shared" si="14"/>
        <v>0</v>
      </c>
    </row>
    <row r="84" spans="1:16" ht="16" customHeight="1" x14ac:dyDescent="0.3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</row>
    <row r="85" spans="1:16" ht="22" customHeight="1" x14ac:dyDescent="0.35">
      <c r="A85" s="100" t="s">
        <v>81</v>
      </c>
      <c r="B85" s="87"/>
      <c r="C85" s="79" t="s">
        <v>15</v>
      </c>
      <c r="D85" s="7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1:16" ht="22" customHeight="1" x14ac:dyDescent="0.35">
      <c r="A86" s="100"/>
      <c r="B86" s="87"/>
      <c r="C86" s="81" t="s">
        <v>82</v>
      </c>
      <c r="D86" s="81"/>
      <c r="E86" s="18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62">
        <f t="shared" ref="P86:P91" si="16">SUM(E86:O86)</f>
        <v>0</v>
      </c>
    </row>
    <row r="87" spans="1:16" ht="22" customHeight="1" x14ac:dyDescent="0.35">
      <c r="A87" s="100"/>
      <c r="B87" s="87"/>
      <c r="C87" s="85" t="s">
        <v>83</v>
      </c>
      <c r="D87" s="85"/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62">
        <f t="shared" si="16"/>
        <v>0</v>
      </c>
    </row>
    <row r="88" spans="1:16" ht="22" customHeight="1" x14ac:dyDescent="0.35">
      <c r="A88" s="100"/>
      <c r="B88" s="87"/>
      <c r="C88" s="81" t="s">
        <v>84</v>
      </c>
      <c r="D88" s="81"/>
      <c r="E88" s="18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62">
        <f t="shared" si="16"/>
        <v>0</v>
      </c>
    </row>
    <row r="89" spans="1:16" ht="22" customHeight="1" x14ac:dyDescent="0.35">
      <c r="A89" s="100"/>
      <c r="B89" s="87"/>
      <c r="C89" s="85" t="s">
        <v>85</v>
      </c>
      <c r="D89" s="85"/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62">
        <f t="shared" si="16"/>
        <v>0</v>
      </c>
    </row>
    <row r="90" spans="1:16" ht="22" customHeight="1" x14ac:dyDescent="0.35">
      <c r="A90" s="100"/>
      <c r="B90" s="87"/>
      <c r="C90" s="81" t="s">
        <v>22</v>
      </c>
      <c r="D90" s="81"/>
      <c r="E90" s="18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62">
        <f t="shared" si="16"/>
        <v>0</v>
      </c>
    </row>
    <row r="91" spans="1:16" ht="28" customHeight="1" x14ac:dyDescent="0.35">
      <c r="A91" s="26"/>
      <c r="B91" s="26"/>
      <c r="C91" s="86" t="s">
        <v>86</v>
      </c>
      <c r="D91" s="86"/>
      <c r="E91" s="23">
        <f t="shared" ref="E91:O91" si="17">SUM(E86:E90)</f>
        <v>0</v>
      </c>
      <c r="F91" s="54">
        <f t="shared" si="17"/>
        <v>0</v>
      </c>
      <c r="G91" s="54">
        <f t="shared" si="17"/>
        <v>0</v>
      </c>
      <c r="H91" s="54">
        <f t="shared" si="17"/>
        <v>0</v>
      </c>
      <c r="I91" s="54">
        <f t="shared" si="17"/>
        <v>0</v>
      </c>
      <c r="J91" s="54">
        <f t="shared" si="17"/>
        <v>0</v>
      </c>
      <c r="K91" s="54">
        <f t="shared" si="17"/>
        <v>0</v>
      </c>
      <c r="L91" s="54">
        <f t="shared" si="17"/>
        <v>0</v>
      </c>
      <c r="M91" s="54">
        <f t="shared" si="17"/>
        <v>0</v>
      </c>
      <c r="N91" s="54">
        <f t="shared" si="17"/>
        <v>0</v>
      </c>
      <c r="O91" s="54">
        <f t="shared" si="17"/>
        <v>0</v>
      </c>
      <c r="P91" s="62">
        <f t="shared" si="16"/>
        <v>0</v>
      </c>
    </row>
    <row r="92" spans="1:16" ht="16" customHeight="1" x14ac:dyDescent="0.3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</row>
    <row r="93" spans="1:16" ht="22" customHeight="1" x14ac:dyDescent="0.35">
      <c r="A93" s="94" t="s">
        <v>87</v>
      </c>
      <c r="B93" s="16"/>
      <c r="C93" s="79" t="s">
        <v>15</v>
      </c>
      <c r="D93" s="7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1:16" ht="22" customHeight="1" x14ac:dyDescent="0.35">
      <c r="A94" s="94"/>
      <c r="B94" s="17"/>
      <c r="C94" s="96" t="s">
        <v>88</v>
      </c>
      <c r="D94" s="96"/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62">
        <f t="shared" ref="P94:P99" si="18">SUM(E94:O94)</f>
        <v>0</v>
      </c>
    </row>
    <row r="95" spans="1:16" ht="22" customHeight="1" x14ac:dyDescent="0.35">
      <c r="A95" s="94"/>
      <c r="B95" s="17"/>
      <c r="C95" s="95" t="s">
        <v>56</v>
      </c>
      <c r="D95" s="95"/>
      <c r="E95" s="29">
        <v>0</v>
      </c>
      <c r="F95" s="46">
        <v>0</v>
      </c>
      <c r="G95" s="46">
        <v>0</v>
      </c>
      <c r="H95" s="46">
        <v>0</v>
      </c>
      <c r="I95" s="46">
        <v>0</v>
      </c>
      <c r="J95" s="46">
        <v>0</v>
      </c>
      <c r="K95" s="46">
        <v>0</v>
      </c>
      <c r="L95" s="46">
        <v>0</v>
      </c>
      <c r="M95" s="46">
        <v>0</v>
      </c>
      <c r="N95" s="46">
        <v>0</v>
      </c>
      <c r="O95" s="46">
        <v>0</v>
      </c>
      <c r="P95" s="62">
        <f t="shared" si="18"/>
        <v>0</v>
      </c>
    </row>
    <row r="96" spans="1:16" ht="22" customHeight="1" x14ac:dyDescent="0.35">
      <c r="A96" s="94"/>
      <c r="B96" s="17"/>
      <c r="C96" s="96" t="s">
        <v>89</v>
      </c>
      <c r="D96" s="96"/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62">
        <f t="shared" si="18"/>
        <v>0</v>
      </c>
    </row>
    <row r="97" spans="1:16" ht="22" customHeight="1" x14ac:dyDescent="0.35">
      <c r="A97" s="94"/>
      <c r="B97" s="34"/>
      <c r="C97" s="95" t="s">
        <v>90</v>
      </c>
      <c r="D97" s="95"/>
      <c r="E97" s="29">
        <v>0</v>
      </c>
      <c r="F97" s="46">
        <v>0</v>
      </c>
      <c r="G97" s="46">
        <v>0</v>
      </c>
      <c r="H97" s="46">
        <v>0</v>
      </c>
      <c r="I97" s="46">
        <v>0</v>
      </c>
      <c r="J97" s="46">
        <v>0</v>
      </c>
      <c r="K97" s="46">
        <v>0</v>
      </c>
      <c r="L97" s="46">
        <v>0</v>
      </c>
      <c r="M97" s="46">
        <v>0</v>
      </c>
      <c r="N97" s="46">
        <v>0</v>
      </c>
      <c r="O97" s="46">
        <v>0</v>
      </c>
      <c r="P97" s="62">
        <f t="shared" si="18"/>
        <v>0</v>
      </c>
    </row>
    <row r="98" spans="1:16" ht="22" customHeight="1" x14ac:dyDescent="0.35">
      <c r="A98" s="94"/>
      <c r="B98" s="34"/>
      <c r="C98" s="96" t="s">
        <v>22</v>
      </c>
      <c r="D98" s="96"/>
      <c r="E98" s="30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v>0</v>
      </c>
      <c r="O98" s="47">
        <v>0</v>
      </c>
      <c r="P98" s="62">
        <f t="shared" si="18"/>
        <v>0</v>
      </c>
    </row>
    <row r="99" spans="1:16" s="28" customFormat="1" ht="28" customHeight="1" x14ac:dyDescent="0.35">
      <c r="A99" s="26"/>
      <c r="B99" s="26"/>
      <c r="C99" s="91" t="s">
        <v>91</v>
      </c>
      <c r="D99" s="91"/>
      <c r="E99" s="27">
        <f>SUM(E94:E98)</f>
        <v>0</v>
      </c>
      <c r="F99" s="52">
        <f t="shared" ref="E99:O99" si="19">SUM(F94:F98)</f>
        <v>0</v>
      </c>
      <c r="G99" s="52">
        <f t="shared" si="19"/>
        <v>0</v>
      </c>
      <c r="H99" s="52">
        <f t="shared" si="19"/>
        <v>0</v>
      </c>
      <c r="I99" s="52">
        <f t="shared" si="19"/>
        <v>0</v>
      </c>
      <c r="J99" s="52">
        <f t="shared" si="19"/>
        <v>0</v>
      </c>
      <c r="K99" s="52">
        <f t="shared" si="19"/>
        <v>0</v>
      </c>
      <c r="L99" s="52">
        <f t="shared" si="19"/>
        <v>0</v>
      </c>
      <c r="M99" s="52">
        <f t="shared" si="19"/>
        <v>0</v>
      </c>
      <c r="N99" s="52">
        <f t="shared" si="19"/>
        <v>0</v>
      </c>
      <c r="O99" s="52">
        <f t="shared" si="19"/>
        <v>0</v>
      </c>
      <c r="P99" s="62">
        <f t="shared" si="18"/>
        <v>0</v>
      </c>
    </row>
    <row r="100" spans="1:16" ht="16" customHeight="1" x14ac:dyDescent="0.3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</row>
    <row r="101" spans="1:16" ht="30" customHeight="1" x14ac:dyDescent="0.35">
      <c r="A101" s="71" t="s">
        <v>92</v>
      </c>
      <c r="B101" s="71"/>
      <c r="C101" s="71"/>
      <c r="D101" s="71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</row>
    <row r="102" spans="1:16" s="87" customFormat="1" ht="10" customHeight="1" x14ac:dyDescent="0.35"/>
    <row r="103" spans="1:16" s="3" customFormat="1" ht="22" customHeight="1" x14ac:dyDescent="0.35">
      <c r="A103" s="106" t="s">
        <v>93</v>
      </c>
      <c r="B103" s="106"/>
      <c r="C103" s="106"/>
      <c r="D103" s="106"/>
      <c r="E103" s="36">
        <f t="shared" ref="E103:O103" si="20">E14</f>
        <v>0</v>
      </c>
      <c r="F103" s="50">
        <f t="shared" si="20"/>
        <v>0</v>
      </c>
      <c r="G103" s="50">
        <f t="shared" si="20"/>
        <v>0</v>
      </c>
      <c r="H103" s="50">
        <f t="shared" si="20"/>
        <v>0</v>
      </c>
      <c r="I103" s="50">
        <f t="shared" si="20"/>
        <v>0</v>
      </c>
      <c r="J103" s="50">
        <f t="shared" si="20"/>
        <v>0</v>
      </c>
      <c r="K103" s="50">
        <f t="shared" si="20"/>
        <v>0</v>
      </c>
      <c r="L103" s="50">
        <f t="shared" si="20"/>
        <v>0</v>
      </c>
      <c r="M103" s="50">
        <f t="shared" si="20"/>
        <v>0</v>
      </c>
      <c r="N103" s="50">
        <f t="shared" si="20"/>
        <v>0</v>
      </c>
      <c r="O103" s="50">
        <f t="shared" si="20"/>
        <v>0</v>
      </c>
      <c r="P103" s="62">
        <f t="shared" ref="P103:P106" si="21">SUM(E103:O103)</f>
        <v>0</v>
      </c>
    </row>
    <row r="104" spans="1:16" s="3" customFormat="1" ht="22" customHeight="1" x14ac:dyDescent="0.35">
      <c r="A104" s="107" t="s">
        <v>94</v>
      </c>
      <c r="B104" s="107"/>
      <c r="C104" s="107"/>
      <c r="D104" s="107"/>
      <c r="E104" s="37">
        <f t="shared" ref="E104:O104" si="22">E21</f>
        <v>0</v>
      </c>
      <c r="F104" s="51">
        <f t="shared" si="22"/>
        <v>0</v>
      </c>
      <c r="G104" s="51">
        <f t="shared" si="22"/>
        <v>0</v>
      </c>
      <c r="H104" s="51">
        <f t="shared" si="22"/>
        <v>0</v>
      </c>
      <c r="I104" s="51">
        <f t="shared" si="22"/>
        <v>0</v>
      </c>
      <c r="J104" s="51">
        <f t="shared" si="22"/>
        <v>0</v>
      </c>
      <c r="K104" s="51">
        <f t="shared" si="22"/>
        <v>0</v>
      </c>
      <c r="L104" s="51">
        <f t="shared" si="22"/>
        <v>0</v>
      </c>
      <c r="M104" s="51">
        <f t="shared" si="22"/>
        <v>0</v>
      </c>
      <c r="N104" s="51">
        <f t="shared" si="22"/>
        <v>0</v>
      </c>
      <c r="O104" s="51">
        <f t="shared" si="22"/>
        <v>0</v>
      </c>
      <c r="P104" s="62">
        <f t="shared" si="21"/>
        <v>0</v>
      </c>
    </row>
    <row r="105" spans="1:16" s="3" customFormat="1" ht="22" customHeight="1" x14ac:dyDescent="0.35">
      <c r="A105" s="108" t="s">
        <v>95</v>
      </c>
      <c r="B105" s="108"/>
      <c r="C105" s="108"/>
      <c r="D105" s="108"/>
      <c r="E105" s="38">
        <f>SUM(E99,E91,E83,E73,E66,E58,E50,E39)</f>
        <v>0</v>
      </c>
      <c r="F105" s="55">
        <f t="shared" ref="E105:O105" si="23">SUM(F99,F91,F83,F73,F66,F58,F50,F39)</f>
        <v>0</v>
      </c>
      <c r="G105" s="55">
        <f t="shared" si="23"/>
        <v>0</v>
      </c>
      <c r="H105" s="55">
        <f t="shared" si="23"/>
        <v>0</v>
      </c>
      <c r="I105" s="55">
        <f t="shared" si="23"/>
        <v>0</v>
      </c>
      <c r="J105" s="55">
        <f t="shared" si="23"/>
        <v>0</v>
      </c>
      <c r="K105" s="55">
        <f t="shared" si="23"/>
        <v>0</v>
      </c>
      <c r="L105" s="55">
        <f t="shared" si="23"/>
        <v>0</v>
      </c>
      <c r="M105" s="55">
        <f t="shared" si="23"/>
        <v>0</v>
      </c>
      <c r="N105" s="55">
        <f t="shared" si="23"/>
        <v>0</v>
      </c>
      <c r="O105" s="55">
        <f t="shared" si="23"/>
        <v>0</v>
      </c>
      <c r="P105" s="62">
        <f t="shared" si="21"/>
        <v>0</v>
      </c>
    </row>
    <row r="106" spans="1:16" s="57" customFormat="1" ht="28" customHeight="1" x14ac:dyDescent="0.35">
      <c r="A106" s="109" t="s">
        <v>96</v>
      </c>
      <c r="B106" s="109"/>
      <c r="C106" s="109"/>
      <c r="D106" s="109"/>
      <c r="E106" s="56">
        <f>SUM(E103-E104)-E105</f>
        <v>0</v>
      </c>
      <c r="F106" s="61">
        <f>SUM(F103-F104)-F105</f>
        <v>0</v>
      </c>
      <c r="G106" s="61">
        <f>SUM(G103-G104)-G105</f>
        <v>0</v>
      </c>
      <c r="H106" s="61">
        <f>SUM(H103-H104)-H105</f>
        <v>0</v>
      </c>
      <c r="I106" s="61">
        <f>SUM(I103-I104)-I105</f>
        <v>0</v>
      </c>
      <c r="J106" s="61">
        <f t="shared" ref="J106:O106" si="24">SUM(J103-J104)-J105</f>
        <v>0</v>
      </c>
      <c r="K106" s="61">
        <f t="shared" si="24"/>
        <v>0</v>
      </c>
      <c r="L106" s="61">
        <f t="shared" si="24"/>
        <v>0</v>
      </c>
      <c r="M106" s="61">
        <f t="shared" si="24"/>
        <v>0</v>
      </c>
      <c r="N106" s="61">
        <f t="shared" si="24"/>
        <v>0</v>
      </c>
      <c r="O106" s="61">
        <f t="shared" si="24"/>
        <v>0</v>
      </c>
      <c r="P106" s="62">
        <f t="shared" si="21"/>
        <v>0</v>
      </c>
    </row>
    <row r="107" spans="1:16" ht="32.15" customHeight="1" x14ac:dyDescent="0.35">
      <c r="A107" s="1"/>
      <c r="B107" s="1"/>
      <c r="C107" s="6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6" s="35" customFormat="1" ht="32.15" customHeight="1" x14ac:dyDescent="0.4">
      <c r="A108" s="64" t="s">
        <v>97</v>
      </c>
      <c r="B108" s="64"/>
      <c r="C108" s="64"/>
      <c r="D108" s="64"/>
      <c r="E108" s="39" t="str">
        <f>IFERROR(E104/E103,"0%")</f>
        <v>0%</v>
      </c>
      <c r="F108" s="39" t="str">
        <f t="shared" ref="F108:O108" si="25">IFERROR(F21/F14,"0%")</f>
        <v>0%</v>
      </c>
      <c r="G108" s="39" t="str">
        <f t="shared" si="25"/>
        <v>0%</v>
      </c>
      <c r="H108" s="39" t="str">
        <f t="shared" si="25"/>
        <v>0%</v>
      </c>
      <c r="I108" s="39" t="str">
        <f t="shared" si="25"/>
        <v>0%</v>
      </c>
      <c r="J108" s="39" t="str">
        <f t="shared" si="25"/>
        <v>0%</v>
      </c>
      <c r="K108" s="39" t="str">
        <f t="shared" si="25"/>
        <v>0%</v>
      </c>
      <c r="L108" s="39" t="str">
        <f t="shared" si="25"/>
        <v>0%</v>
      </c>
      <c r="M108" s="39" t="str">
        <f t="shared" si="25"/>
        <v>0%</v>
      </c>
      <c r="N108" s="39" t="str">
        <f t="shared" si="25"/>
        <v>0%</v>
      </c>
      <c r="O108" s="39" t="str">
        <f t="shared" si="25"/>
        <v>0%</v>
      </c>
      <c r="P108" s="63"/>
    </row>
    <row r="109" spans="1:16" s="35" customFormat="1" ht="32.15" customHeight="1" x14ac:dyDescent="0.4">
      <c r="A109" s="65" t="s">
        <v>98</v>
      </c>
      <c r="B109" s="65"/>
      <c r="C109" s="65"/>
      <c r="D109" s="65"/>
      <c r="E109" s="40" t="str">
        <f t="shared" ref="E109:O109" si="26">IFERROR(E105/E103,"0%")</f>
        <v>0%</v>
      </c>
      <c r="F109" s="40" t="str">
        <f t="shared" si="26"/>
        <v>0%</v>
      </c>
      <c r="G109" s="40" t="str">
        <f t="shared" si="26"/>
        <v>0%</v>
      </c>
      <c r="H109" s="40" t="str">
        <f t="shared" si="26"/>
        <v>0%</v>
      </c>
      <c r="I109" s="40" t="str">
        <f t="shared" si="26"/>
        <v>0%</v>
      </c>
      <c r="J109" s="40" t="str">
        <f t="shared" si="26"/>
        <v>0%</v>
      </c>
      <c r="K109" s="40" t="str">
        <f t="shared" si="26"/>
        <v>0%</v>
      </c>
      <c r="L109" s="40" t="str">
        <f t="shared" si="26"/>
        <v>0%</v>
      </c>
      <c r="M109" s="40" t="str">
        <f t="shared" si="26"/>
        <v>0%</v>
      </c>
      <c r="N109" s="40" t="str">
        <f t="shared" si="26"/>
        <v>0%</v>
      </c>
      <c r="O109" s="40" t="str">
        <f t="shared" si="26"/>
        <v>0%</v>
      </c>
      <c r="P109" s="63"/>
    </row>
    <row r="110" spans="1:16" ht="32.15" customHeight="1" x14ac:dyDescent="0.35">
      <c r="E110" s="59"/>
    </row>
    <row r="111" spans="1:16" ht="22" customHeight="1" x14ac:dyDescent="0.35">
      <c r="A111" s="104"/>
      <c r="B111" s="104"/>
      <c r="C111" s="104"/>
      <c r="D111" s="104"/>
      <c r="E111" s="102" t="s">
        <v>99</v>
      </c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</row>
    <row r="112" spans="1:16" ht="22" customHeight="1" x14ac:dyDescent="0.35">
      <c r="A112" s="104"/>
      <c r="B112" s="104"/>
      <c r="C112" s="104"/>
      <c r="D112" s="104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</row>
    <row r="113" spans="1:15" ht="22" customHeight="1" x14ac:dyDescent="0.35">
      <c r="A113" s="104"/>
      <c r="B113" s="104"/>
      <c r="C113" s="104"/>
      <c r="D113" s="104"/>
      <c r="E113" s="103" t="s">
        <v>100</v>
      </c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</row>
    <row r="114" spans="1:15" ht="22" customHeight="1" x14ac:dyDescent="0.35">
      <c r="A114" s="104"/>
      <c r="B114" s="104"/>
      <c r="C114" s="104"/>
      <c r="D114" s="104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</row>
  </sheetData>
  <mergeCells count="139">
    <mergeCell ref="P1:P2"/>
    <mergeCell ref="E111:O112"/>
    <mergeCell ref="E113:O114"/>
    <mergeCell ref="A111:D114"/>
    <mergeCell ref="A3:O3"/>
    <mergeCell ref="A102:XFD102"/>
    <mergeCell ref="A103:D103"/>
    <mergeCell ref="A104:D104"/>
    <mergeCell ref="A105:D105"/>
    <mergeCell ref="A106:D106"/>
    <mergeCell ref="C99:D99"/>
    <mergeCell ref="C95:D95"/>
    <mergeCell ref="B85:B90"/>
    <mergeCell ref="A101:D101"/>
    <mergeCell ref="E101:O101"/>
    <mergeCell ref="C91:D91"/>
    <mergeCell ref="A92:O92"/>
    <mergeCell ref="A93:A98"/>
    <mergeCell ref="C93:D93"/>
    <mergeCell ref="C94:D94"/>
    <mergeCell ref="C96:D96"/>
    <mergeCell ref="C97:D97"/>
    <mergeCell ref="C98:D98"/>
    <mergeCell ref="C83:D83"/>
    <mergeCell ref="C80:D80"/>
    <mergeCell ref="C76:D76"/>
    <mergeCell ref="C77:D77"/>
    <mergeCell ref="C78:D78"/>
    <mergeCell ref="C79:D79"/>
    <mergeCell ref="C82:D82"/>
    <mergeCell ref="C81:D81"/>
    <mergeCell ref="A84:O84"/>
    <mergeCell ref="A85:A90"/>
    <mergeCell ref="C85:D85"/>
    <mergeCell ref="C86:D86"/>
    <mergeCell ref="C87:D87"/>
    <mergeCell ref="C88:D88"/>
    <mergeCell ref="C89:D89"/>
    <mergeCell ref="C90:D90"/>
    <mergeCell ref="C68:D68"/>
    <mergeCell ref="C69:D69"/>
    <mergeCell ref="C70:D70"/>
    <mergeCell ref="C71:D71"/>
    <mergeCell ref="C72:D72"/>
    <mergeCell ref="C58:D58"/>
    <mergeCell ref="A100:O100"/>
    <mergeCell ref="B55:B57"/>
    <mergeCell ref="A59:O59"/>
    <mergeCell ref="A60:A65"/>
    <mergeCell ref="C60:D60"/>
    <mergeCell ref="C61:D61"/>
    <mergeCell ref="C62:D62"/>
    <mergeCell ref="B63:B65"/>
    <mergeCell ref="C63:D63"/>
    <mergeCell ref="C64:D64"/>
    <mergeCell ref="C65:D65"/>
    <mergeCell ref="C66:D66"/>
    <mergeCell ref="A67:O67"/>
    <mergeCell ref="A68:A72"/>
    <mergeCell ref="C73:D73"/>
    <mergeCell ref="A74:O74"/>
    <mergeCell ref="A75:A82"/>
    <mergeCell ref="C75:D75"/>
    <mergeCell ref="C54:D54"/>
    <mergeCell ref="C50:D50"/>
    <mergeCell ref="B45:B48"/>
    <mergeCell ref="A51:O51"/>
    <mergeCell ref="A52:A57"/>
    <mergeCell ref="C55:D55"/>
    <mergeCell ref="C56:D56"/>
    <mergeCell ref="C57:D57"/>
    <mergeCell ref="A41:A49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2:D52"/>
    <mergeCell ref="C53:D53"/>
    <mergeCell ref="C36:D36"/>
    <mergeCell ref="C35:D35"/>
    <mergeCell ref="C34:D34"/>
    <mergeCell ref="C39:D39"/>
    <mergeCell ref="A24:XFD24"/>
    <mergeCell ref="A25:A38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8:D38"/>
    <mergeCell ref="O1:O2"/>
    <mergeCell ref="A4:D4"/>
    <mergeCell ref="C6:D6"/>
    <mergeCell ref="C7:D7"/>
    <mergeCell ref="C8:D8"/>
    <mergeCell ref="J1:J2"/>
    <mergeCell ref="K1:K2"/>
    <mergeCell ref="L1:L2"/>
    <mergeCell ref="M1:M2"/>
    <mergeCell ref="N1:N2"/>
    <mergeCell ref="E1:E2"/>
    <mergeCell ref="F1:F2"/>
    <mergeCell ref="G1:G2"/>
    <mergeCell ref="H1:H2"/>
    <mergeCell ref="I1:I2"/>
    <mergeCell ref="A1:D2"/>
    <mergeCell ref="A108:D108"/>
    <mergeCell ref="A109:D109"/>
    <mergeCell ref="C9:D9"/>
    <mergeCell ref="C10:D10"/>
    <mergeCell ref="C11:D11"/>
    <mergeCell ref="C12:D12"/>
    <mergeCell ref="C13:D13"/>
    <mergeCell ref="C14:D14"/>
    <mergeCell ref="A6:A13"/>
    <mergeCell ref="A23:D23"/>
    <mergeCell ref="A22:O22"/>
    <mergeCell ref="C21:D21"/>
    <mergeCell ref="A15:O15"/>
    <mergeCell ref="E23:O23"/>
    <mergeCell ref="A16:A20"/>
    <mergeCell ref="B17:B21"/>
    <mergeCell ref="C17:D17"/>
    <mergeCell ref="C18:D18"/>
    <mergeCell ref="C19:D19"/>
    <mergeCell ref="C20:D20"/>
    <mergeCell ref="C16:D16"/>
    <mergeCell ref="A40:O40"/>
    <mergeCell ref="B31:B37"/>
    <mergeCell ref="C37:D37"/>
  </mergeCells>
  <conditionalFormatting sqref="E106:O106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E113:O114" r:id="rId1" display="https://inteligenciafinanceira.com.br/planejamento-financeiro/?i=0,0462363602737193" xr:uid="{D507EA38-1E7D-514D-A0FA-952560D83633}"/>
  </hyperlinks>
  <pageMargins left="0.7" right="0.7" top="0.75" bottom="0.75" header="0.3" footer="0.3"/>
  <headerFooter>
    <oddFooter>&amp;L_x000D_&amp;1#&amp;"Calibri"&amp;9&amp;K000000 Corporativo |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50E7-1D9B-4EE9-8F43-2757041C2B36}">
  <dimension ref="A1"/>
  <sheetViews>
    <sheetView workbookViewId="0">
      <selection activeCell="T8" sqref="T8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Footer>&amp;L_x000D_&amp;1#&amp;"Calibri"&amp;9&amp;K000000 Corporativo | Interno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911D-38AF-4E54-B969-B3BC2FA8816F}">
  <dimension ref="A1"/>
  <sheetViews>
    <sheetView topLeftCell="A16" workbookViewId="0">
      <selection activeCell="AJ45" sqref="AJ45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Footer>&amp;L_x000D_&amp;1#&amp;"Calibri"&amp;9&amp;K000000 Corporativo | Interno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845807CB40B14C806F7E859D474D73" ma:contentTypeVersion="7" ma:contentTypeDescription="Crie um novo documento." ma:contentTypeScope="" ma:versionID="27f76b689f481ca33b0bdd1b03d3b590">
  <xsd:schema xmlns:xsd="http://www.w3.org/2001/XMLSchema" xmlns:xs="http://www.w3.org/2001/XMLSchema" xmlns:p="http://schemas.microsoft.com/office/2006/metadata/properties" xmlns:ns2="27d57945-2914-4dc2-bad9-c683a4bbafb9" targetNamespace="http://schemas.microsoft.com/office/2006/metadata/properties" ma:root="true" ma:fieldsID="8aa414f13ae26f450f4b6da9f4c60e35" ns2:_="">
    <xsd:import namespace="27d57945-2914-4dc2-bad9-c683a4bbaf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57945-2914-4dc2-bad9-c683a4bba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AAC45D-65E6-4555-AC43-D3D0106C2F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AB7D20-6FF3-4A7F-818B-A8CD097AEC61}">
  <ds:schemaRefs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911167cc-ea81-4c60-a2f6-0df97ba6bc9c"/>
    <ds:schemaRef ds:uri="http://schemas.microsoft.com/office/2006/documentManagement/types"/>
    <ds:schemaRef ds:uri="http://schemas.microsoft.com/office/infopath/2007/PartnerControls"/>
    <ds:schemaRef ds:uri="d1fbf3eb-2f47-4d38-91a2-80e9e31a4daf"/>
  </ds:schemaRefs>
</ds:datastoreItem>
</file>

<file path=customXml/itemProps3.xml><?xml version="1.0" encoding="utf-8"?>
<ds:datastoreItem xmlns:ds="http://schemas.openxmlformats.org/officeDocument/2006/customXml" ds:itemID="{F2808F07-6D70-4E23-BB5D-FEF1847116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d57945-2914-4dc2-bad9-c683a4bba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Planejamento</vt:lpstr>
      <vt:lpstr>Gráf. 1 - visão anual</vt:lpstr>
      <vt:lpstr>Gráf. 2 - dist. de despesas</vt:lpstr>
      <vt:lpstr>SUM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Rhuan Oliveira Pereira</dc:creator>
  <cp:keywords/>
  <dc:description/>
  <cp:lastModifiedBy>Davi Justiniano Alves</cp:lastModifiedBy>
  <cp:revision/>
  <dcterms:created xsi:type="dcterms:W3CDTF">2023-07-28T20:19:15Z</dcterms:created>
  <dcterms:modified xsi:type="dcterms:W3CDTF">2026-07-21T17:04:58Z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0x0101009D845807CB40B14C806F7E859D474D73</vt:lpwstr>
  </property>
  <property fmtid="{D5CDD505-2E9C-101B-9397-08002B2CF9AE}" pid="3" name="MediaServiceImageTags">
    <vt:lpwstr/>
  </property>
  <property fmtid="{D5CDD505-2E9C-101B-9397-08002B2CF9AE}" pid="4" name="MSIP_Label_4fc996bf-6aee-415c-aa4c-e35ad0009c67_Enabled">
    <vt:lpwstr>true</vt:lpwstr>
  </property>
  <property fmtid="{D5CDD505-2E9C-101B-9397-08002B2CF9AE}" pid="5" name="MSIP_Label_4fc996bf-6aee-415c-aa4c-e35ad0009c67_SetDate">
    <vt:lpwstr>2023-10-04T17:23:36Z</vt:lpwstr>
  </property>
  <property fmtid="{D5CDD505-2E9C-101B-9397-08002B2CF9AE}" pid="6" name="MSIP_Label_4fc996bf-6aee-415c-aa4c-e35ad0009c67_Method">
    <vt:lpwstr>Standard</vt:lpwstr>
  </property>
  <property fmtid="{D5CDD505-2E9C-101B-9397-08002B2CF9AE}" pid="7" name="MSIP_Label_4fc996bf-6aee-415c-aa4c-e35ad0009c67_Name">
    <vt:lpwstr>Compartilhamento Interno</vt:lpwstr>
  </property>
  <property fmtid="{D5CDD505-2E9C-101B-9397-08002B2CF9AE}" pid="8" name="MSIP_Label_4fc996bf-6aee-415c-aa4c-e35ad0009c67_SiteId">
    <vt:lpwstr>591669a0-183f-49a5-98f4-9aa0d0b63d81</vt:lpwstr>
  </property>
  <property fmtid="{D5CDD505-2E9C-101B-9397-08002B2CF9AE}" pid="9" name="MSIP_Label_4fc996bf-6aee-415c-aa4c-e35ad0009c67_ActionId">
    <vt:lpwstr>fb2b20a2-9158-47de-8777-01ba5fb7c747</vt:lpwstr>
  </property>
  <property fmtid="{D5CDD505-2E9C-101B-9397-08002B2CF9AE}" pid="10" name="MSIP_Label_4fc996bf-6aee-415c-aa4c-e35ad0009c67_ContentBits">
    <vt:lpwstr>2</vt:lpwstr>
  </property>
</Properties>
</file>